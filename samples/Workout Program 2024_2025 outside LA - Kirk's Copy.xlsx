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8+" sheetId="1" r:id="rId5"/>
    <sheet state="visible" name="thru 117" sheetId="2" r:id="rId6"/>
    <sheet state="visible" name="Dashboard" sheetId="3" r:id="rId7"/>
    <sheet state="visible" name="DATA" sheetId="4" r:id="rId8"/>
  </sheets>
  <definedNames>
    <definedName name="Week2">'thru 117'!$69:$69</definedName>
    <definedName localSheetId="0" name="Week2">'118+'!$77:$77</definedName>
    <definedName localSheetId="0" name="Week5">'118+'!$293:$293</definedName>
    <definedName name="Week3">'thru 117'!$141:$141</definedName>
    <definedName name="Week1">'thru 117'!$4:$4</definedName>
    <definedName localSheetId="0" name="Week1">'118+'!$5:$5</definedName>
    <definedName localSheetId="0" name="Week3">'118+'!$149:$149</definedName>
    <definedName name="Tempo">#REF!</definedName>
    <definedName name="Week4">'thru 117'!$213:$213</definedName>
    <definedName localSheetId="0" name="Week4">'118+'!$221:$221</definedName>
    <definedName name="Week5">'thru 117'!$285:$285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0">
      <text>
        <t xml:space="preserve">two sessions on separate days in this block to avoid spreadsheet re-work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tc={6c4c49a8-ca6d-4411-b651-b706df930536}</author>
  </authors>
  <commentList>
    <comment authorId="0" xr:uid="{6c4c49a8-ca6d-4411-b651-b706df930536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Didn't hit 10 on last 2 sets
</t>
      </text>
    </comment>
  </commentList>
</comments>
</file>

<file path=xl/sharedStrings.xml><?xml version="1.0" encoding="utf-8"?>
<sst xmlns="http://schemas.openxmlformats.org/spreadsheetml/2006/main" count="5665" uniqueCount="3840">
  <si>
    <t xml:space="preserve">CURRENT WEEK </t>
  </si>
  <si>
    <t>JUMP TO:</t>
  </si>
  <si>
    <t>WORKOUTS IN JANUARY</t>
  </si>
  <si>
    <t>WEEK 1</t>
  </si>
  <si>
    <t>WEEK 2</t>
  </si>
  <si>
    <t>WEEK 3</t>
  </si>
  <si>
    <t>WEEK 4</t>
  </si>
  <si>
    <t>WEEK 5</t>
  </si>
  <si>
    <t>Exercise</t>
  </si>
  <si>
    <t>Sets</t>
  </si>
  <si>
    <t>Reps</t>
  </si>
  <si>
    <t>Tempo</t>
  </si>
  <si>
    <t>Rest</t>
  </si>
  <si>
    <t>Weight (Lbs)</t>
  </si>
  <si>
    <t>PR</t>
  </si>
  <si>
    <t>Notes</t>
  </si>
  <si>
    <t>Session 1</t>
  </si>
  <si>
    <t>A</t>
  </si>
  <si>
    <t xml:space="preserve">Db bench press </t>
  </si>
  <si>
    <t>Tricep Dips</t>
  </si>
  <si>
    <t>Body weight</t>
  </si>
  <si>
    <t>B</t>
  </si>
  <si>
    <t>Flat DB Chest Flies</t>
  </si>
  <si>
    <t>Standing overhead single DB tricep behind head thingy</t>
  </si>
  <si>
    <t>Session 2</t>
  </si>
  <si>
    <t>DB Curls</t>
  </si>
  <si>
    <t>C</t>
  </si>
  <si>
    <t>Hammer Curls</t>
  </si>
  <si>
    <t>Incline Dumbbell Row</t>
  </si>
  <si>
    <t>Session 3</t>
  </si>
  <si>
    <t>Squats</t>
  </si>
  <si>
    <t>rested muscles otherwise</t>
  </si>
  <si>
    <t>Session 4</t>
  </si>
  <si>
    <t>Session 5</t>
  </si>
  <si>
    <t>should seek return to 40 next time</t>
  </si>
  <si>
    <t>Session 6</t>
  </si>
  <si>
    <t>Squat 4-3-1</t>
  </si>
  <si>
    <t>45 lb bar (double check) + 2x25 plates</t>
  </si>
  <si>
    <t>Pullups</t>
  </si>
  <si>
    <t>Lateral Raises</t>
  </si>
  <si>
    <t>Was fine w 20 by the end</t>
  </si>
  <si>
    <t>Overhead DB shoulder press</t>
  </si>
  <si>
    <t>May be able to go up to 45 next time; one 40 rep was shaky stability wise but otherwise 40 reps were easy-ish</t>
  </si>
  <si>
    <t>40 seemed ok</t>
  </si>
  <si>
    <t>40 seemed ok, tho left elbow twinge</t>
  </si>
  <si>
    <t>Back Machine pull down thing</t>
  </si>
  <si>
    <t>was testing out, start at 115 next time and can go higher</t>
  </si>
  <si>
    <t>---Session 5b on ensuing Saturday Feb 1---</t>
  </si>
  <si>
    <t>tiny twinge on right arm, aborted halfway thru</t>
  </si>
  <si>
    <t>feeling meh, abort out of caution</t>
  </si>
  <si>
    <t>TOTAL WORKOUTS</t>
  </si>
  <si>
    <t>Comments</t>
  </si>
  <si>
    <t>Bicep Curl</t>
  </si>
  <si>
    <t xml:space="preserve">Normal </t>
  </si>
  <si>
    <t>0s</t>
  </si>
  <si>
    <t>Cable Overhead Triceps Extension</t>
  </si>
  <si>
    <t>90s</t>
  </si>
  <si>
    <t>Close Grip Bench Press</t>
  </si>
  <si>
    <t>Barbell Bicep Curl</t>
  </si>
  <si>
    <t>2 mins</t>
  </si>
  <si>
    <t>Incline Bench Row (45 degrees)</t>
  </si>
  <si>
    <t xml:space="preserve">Lateral raise </t>
  </si>
  <si>
    <t>Front raise</t>
  </si>
  <si>
    <t>60s</t>
  </si>
  <si>
    <t>Dumbbell chest press</t>
  </si>
  <si>
    <t>Barbell Bent Over Row</t>
  </si>
  <si>
    <t>Barbell Close Grip Bench Press</t>
  </si>
  <si>
    <t>Bench press been too busy both days</t>
  </si>
  <si>
    <t>Dips</t>
  </si>
  <si>
    <t>Hammer Curl</t>
  </si>
  <si>
    <t>pull-ups</t>
  </si>
  <si>
    <t>max</t>
  </si>
  <si>
    <t>Barbell Bench Press</t>
  </si>
  <si>
    <t>30s</t>
  </si>
  <si>
    <t>Only dumbbells available</t>
  </si>
  <si>
    <t>Pull Ups</t>
  </si>
  <si>
    <t>3 mins</t>
  </si>
  <si>
    <t>Able to do at least 10 each time</t>
  </si>
  <si>
    <t>Dumbbell Flies</t>
  </si>
  <si>
    <t>15s</t>
  </si>
  <si>
    <t>Bent Over Reverse Flyes</t>
  </si>
  <si>
    <t>Wasn't confident in form / shoulder felt like it was stretching so out of caution skipped</t>
  </si>
  <si>
    <t>Push ups</t>
  </si>
  <si>
    <t>Cut for logistical constraints (no good spot to do, had already done warmup on bench, prevent overkill on wrist, etc.)</t>
  </si>
  <si>
    <t>Bicep curls</t>
  </si>
  <si>
    <t>Narrow Push ups</t>
  </si>
  <si>
    <t>On bench</t>
  </si>
  <si>
    <t>Reverse Bicep Curl</t>
  </si>
  <si>
    <t>bicep curl</t>
  </si>
  <si>
    <t>Tricep Dips over the bench</t>
  </si>
  <si>
    <t>Narrow Dumbbell Bench Press</t>
  </si>
  <si>
    <t>Exercise --&gt;</t>
  </si>
  <si>
    <t xml:space="preserve">Switched to dumbbell </t>
  </si>
  <si>
    <t>DB Flat Chest Fly</t>
  </si>
  <si>
    <t>DB Incline Chest Press</t>
  </si>
  <si>
    <t>Pushups</t>
  </si>
  <si>
    <t>25-25-31 reps</t>
  </si>
  <si>
    <t>Dumbbell Bicep Curls</t>
  </si>
  <si>
    <t>bicep</t>
  </si>
  <si>
    <t>Incline Back Rows</t>
  </si>
  <si>
    <t>DB Bench Press</t>
  </si>
  <si>
    <t>Bench Tricep Dips</t>
  </si>
  <si>
    <t>French Press / behind head tricep thingy</t>
  </si>
  <si>
    <t>Squats (body weight)</t>
  </si>
  <si>
    <t>Lunges (body weight)</t>
  </si>
  <si>
    <t>15 to warm up, 20 once warm</t>
  </si>
  <si>
    <t>May be able to go up to 45 next time</t>
  </si>
  <si>
    <t>only 8 - didn't push out of abundance of caution for hsoulder</t>
  </si>
  <si>
    <t>EZ Bar curls on isolating arm pad</t>
  </si>
  <si>
    <t>Ran out of time to do back / wanted to protect shoulder etc</t>
  </si>
  <si>
    <t xml:space="preserve">; </t>
  </si>
  <si>
    <t>neck stiffness (minor) so decreased to 35; 8 reps only for 2nd and 4th set</t>
  </si>
  <si>
    <t>shoulder tightness (hadnt worked it in a while) so worked my way up</t>
  </si>
  <si>
    <t>45 lb bar plus 25 lb plate on each side</t>
  </si>
  <si>
    <t>Pull-ups</t>
  </si>
  <si>
    <t>body weight</t>
  </si>
  <si>
    <t>EZ Bar Bicep Curls on isolating pad</t>
  </si>
  <si>
    <t>The EZ bar as experienced yesterday seemed to be putting excress strain on the elbow so i stopped out of an abundance of caution after 2 sets</t>
  </si>
  <si>
    <t>May be able to go up to 45 this time</t>
  </si>
  <si>
    <t>Stopped precautionarily after felt slight soreness in shoulder -had played a lot of basketball</t>
  </si>
  <si>
    <t>45 lb bar plus 25 lb plate on each side; now quite comfy with that weight solo</t>
  </si>
  <si>
    <t>lingering slight shoulder soreness so skipped preventatively</t>
  </si>
  <si>
    <t>Only 50s because Congo weight room max ￼</t>
  </si>
  <si>
    <t>Because of yesterday's neck twinge, took it easy on LBs, focused on form</t>
  </si>
  <si>
    <t>D</t>
  </si>
  <si>
    <t>Back machine bar pulldown</t>
  </si>
  <si>
    <t>Lunges</t>
  </si>
  <si>
    <t>NAME</t>
  </si>
  <si>
    <t>TOTAL WORKOUTS 2024:</t>
  </si>
  <si>
    <t>LEFT GRIP</t>
  </si>
  <si>
    <t>RIGHT GRIP</t>
  </si>
  <si>
    <t>WEIGHT (Lbs)</t>
  </si>
  <si>
    <t>BODY FAT</t>
  </si>
  <si>
    <t xml:space="preserve">WORKOUTS 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</si>
  <si>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</si>
  <si>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</si>
  <si>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</si>
  <si>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</si>
  <si>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</si>
  <si>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</si>
  <si>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</si>
  <si>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</si>
  <si>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</si>
  <si>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</si>
  <si>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</si>
  <si>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</si>
  <si>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rFont val="Arial"/>
        <b/>
        <color rgb="FF000000"/>
        <sz val="15.0"/>
      </rPr>
      <t>Exercise TEMPO Guide: “Lowering-Pause-Lifting-Hold”</t>
    </r>
    <r>
      <rPr>
        <rFont val="Arial"/>
        <b/>
        <color rgb="FF000000"/>
        <sz val="11.0"/>
      </rPr>
      <t xml:space="preserve">
       </t>
    </r>
    <r>
      <rPr>
        <rFont val="Arial"/>
        <b/>
        <color rgb="FF38761D"/>
        <sz val="11.0"/>
      </rPr>
      <t xml:space="preserve"> 1.        Lowering (Eccentric):
        •        What it is: This phase represents the time it takes to lower the weight or your body during an exercise, also known as the eccentric phase.
        •        Example: In a squat, this is the part where you slowly lower yourself down.
        •        Time: The first number in the tempo indicates the seconds to lower. For example, “2” means you take 2 seconds to lower the weight.</t>
    </r>
    <r>
      <rPr>
        <rFont val="Arial"/>
        <b/>
        <color rgb="FF000000"/>
        <sz val="11.0"/>
      </rPr>
      <t xml:space="preserve">
       </t>
    </r>
    <r>
      <rPr>
        <rFont val="Arial"/>
        <b/>
        <color rgb="FFCC0000"/>
        <sz val="11.0"/>
      </rPr>
      <t xml:space="preserve"> 2.        Pause (Bottom):
        •        What it is: This phase is the pause at the bottom of the movement, where you hold the position before starting to lift again.
        •        Example: In a squat, this is the moment you pause at the lowest point of the squat.
        •        Time: The second number shows how long you pause. For example, “3” means you hold for 3 seconds.</t>
    </r>
    <r>
      <rPr>
        <rFont val="Arial"/>
        <b/>
        <color rgb="FF000000"/>
        <sz val="11.0"/>
      </rPr>
      <t xml:space="preserve">
       </t>
    </r>
    <r>
      <rPr>
        <rFont val="Arial"/>
        <b/>
        <color rgb="FF0000FF"/>
        <sz val="11.0"/>
      </rPr>
      <t xml:space="preserve"> 3.        Lifting (Concentric):
        •        What it is: This phase is the time it takes to lift the weight or your body back to the starting position, known as the concentric phase.
        •        Example: In a squat, this is when you push yourself back up to a standing position.
        •        Time: The third number indicates the time to lift. For example, “2” means you lift for 2 seconds.</t>
    </r>
    <r>
      <rPr>
        <rFont val="Arial"/>
        <b/>
        <color rgb="FF000000"/>
        <sz val="11.0"/>
      </rPr>
      <t xml:space="preserve">
      </t>
    </r>
    <r>
      <rPr>
        <rFont val="Arial"/>
        <b/>
        <color rgb="FFB159FE"/>
        <sz val="11.0"/>
      </rPr>
      <t xml:space="preserve">  4.        Pause (Top):
        •        What it is: This phase is the pause at the top of the movement, where you briefly hold the position before starting the next rep.
        •        Example: In a squat, this is the moment you pause at the top after fully standing up.
        •        Time: The fourth number shows how long you hold. For example, “1” means you hold for 1 second.
</t>
    </r>
    <r>
      <rPr>
        <rFont val="Arial"/>
        <b/>
        <color rgb="FF000000"/>
        <sz val="11.0"/>
      </rPr>
      <t xml:space="preserve">
Example: How to Use the 2321 Tempo
If your workout plan includes a tempo of “2321,” here’s how to apply it:
        •        Lowering: 2 seconds to lower the weight (eccentric).
        •        Pause (Bottom): 3 seconds pause at the bottom of the movement.
        •        Lifting: 2 seconds to lift the weight (concentric).
        •        Pause (Top): 1 second hold at the top before the next rep.</t>
    </r>
  </si>
  <si>
    <t xml:space="preserve">Rest </t>
  </si>
  <si>
    <t>Session</t>
  </si>
  <si>
    <t>exercise_name</t>
  </si>
  <si>
    <t>exercise_focus</t>
  </si>
  <si>
    <t>library_id</t>
  </si>
  <si>
    <t>exercise_video_link</t>
  </si>
  <si>
    <t>exercise_description</t>
  </si>
  <si>
    <t>4 - 6</t>
  </si>
  <si>
    <t>Ab Wheel Iso</t>
  </si>
  <si>
    <t>Core</t>
  </si>
  <si>
    <t>https://www.youtube.com/watch?v=1vDicD_tr9M</t>
  </si>
  <si>
    <t>Hold ab wheel position for core engagement.</t>
  </si>
  <si>
    <t>6 - 8</t>
  </si>
  <si>
    <t>10s</t>
  </si>
  <si>
    <t>Slow</t>
  </si>
  <si>
    <t>Ab Wheel Rollout</t>
  </si>
  <si>
    <t>https://www.youtube.com/watch?v=9ZCoAbI7uX0</t>
  </si>
  <si>
    <t>Extend fully using ab wheel, engage core to return.</t>
  </si>
  <si>
    <t>8 - 10</t>
  </si>
  <si>
    <t>Adductor Mobilization</t>
  </si>
  <si>
    <t>Legs</t>
  </si>
  <si>
    <t>https://www.youtube.com/watch?v=hS82gl2Ea8g</t>
  </si>
  <si>
    <t>Mobilize hip adductors for better flexibility.</t>
  </si>
  <si>
    <t>8 - 12</t>
  </si>
  <si>
    <t>Alternating Barbell Split Jump</t>
  </si>
  <si>
    <t>https://www.youtube.com/watch?v=fiFvoKrHxng</t>
  </si>
  <si>
    <t>Explosive split jump while alternating legs.</t>
  </si>
  <si>
    <t>12 - 15</t>
  </si>
  <si>
    <t>E</t>
  </si>
  <si>
    <t>Alternating Bodyweight Split Jump</t>
  </si>
  <si>
    <t>https://www.youtube.com/watch?v=ZiupDCper-M</t>
  </si>
  <si>
    <t>Jump and switch legs, working lower body power.</t>
  </si>
  <si>
    <t>15 - 20</t>
  </si>
  <si>
    <t>F</t>
  </si>
  <si>
    <t>Alternating Dumbbell Bench Press</t>
  </si>
  <si>
    <t>Chest</t>
  </si>
  <si>
    <t>https://www.youtube.com/watch?v=p8A3oaWhU6U</t>
  </si>
  <si>
    <t>Press dumbbells alternately while lying on bench.</t>
  </si>
  <si>
    <t>20 - 25</t>
  </si>
  <si>
    <t>G</t>
  </si>
  <si>
    <t>Alternating Dumbbell Curl</t>
  </si>
  <si>
    <t>Arms</t>
  </si>
  <si>
    <t>https://www.youtube.com/watch?v=iixND1P2lik</t>
  </si>
  <si>
    <t>Curl dumbbells alternately to work biceps.</t>
  </si>
  <si>
    <t>H</t>
  </si>
  <si>
    <t>Alternating Dumbell Split Jump</t>
  </si>
  <si>
    <t>https://www.youtube.com/watch?v=e3hCZpHeEZ4</t>
  </si>
  <si>
    <t>Jump and switch legs, holding dumbbells.</t>
  </si>
  <si>
    <t>45s</t>
  </si>
  <si>
    <t>4 mins</t>
  </si>
  <si>
    <t>I</t>
  </si>
  <si>
    <t>Alternating Lateral Lunge Walk</t>
  </si>
  <si>
    <t>https://www.youtube.com/watch?v=-mLAtXQLiTE</t>
  </si>
  <si>
    <t>Step laterally, alternating sides, engaging leg muscles.</t>
  </si>
  <si>
    <t>5 mins</t>
  </si>
  <si>
    <t>Alternating Single Leg V-Up</t>
  </si>
  <si>
    <t>https://www.youtube.com/watch?v=0EIDVDbzVNo</t>
  </si>
  <si>
    <t>Lift alternating legs while performing V-Up motion.</t>
  </si>
  <si>
    <t>--</t>
  </si>
  <si>
    <t>American KB Swing</t>
  </si>
  <si>
    <t>Back, Shoulders</t>
  </si>
  <si>
    <t>https://www.youtube.com/watch?v=E6GoQYuZZT4</t>
  </si>
  <si>
    <t>Swing kettlebell overhead, engaging core and hips.</t>
  </si>
  <si>
    <t>Anchored Reverse Crunch</t>
  </si>
  <si>
    <t>https://www.youtube.com/watch?v=fcvdXzWoogg</t>
  </si>
  <si>
    <t>Crunch upward while keeping legs anchored.</t>
  </si>
  <si>
    <t>Anchored Sit Up</t>
  </si>
  <si>
    <t>https://www.youtube.com/watch?v=CBL_WRQjvuY</t>
  </si>
  <si>
    <t>Perform sit-up while keeping feet anchored.</t>
  </si>
  <si>
    <t>Anderson Front Squat</t>
  </si>
  <si>
    <t>https://www.youtube.com/watch?v=wFbJajvBZzY</t>
  </si>
  <si>
    <t>Squat from pins, starting at the bottom.</t>
  </si>
  <si>
    <t>Anti-Rotation Core Activation</t>
  </si>
  <si>
    <t>https://www.youtube.com/watch?v=8KNHP0mN9Lc</t>
  </si>
  <si>
    <t>Resist rotation to engage core muscles.</t>
  </si>
  <si>
    <t>Archer Squats</t>
  </si>
  <si>
    <t>https://www.youtube.com/watch?v=p4tsleylZB8</t>
  </si>
  <si>
    <t>Squat, alternating side lunges to challenge legs.</t>
  </si>
  <si>
    <t>Arms Across Stretch</t>
  </si>
  <si>
    <t>Arms, Shoulders</t>
  </si>
  <si>
    <t>https://www.youtube.com/watch?v=-1K0m5ywRcY</t>
  </si>
  <si>
    <t>Stretch arms across chest to release tension.</t>
  </si>
  <si>
    <t>Arnold Press</t>
  </si>
  <si>
    <t>Shoulders</t>
  </si>
  <si>
    <t>https://www.youtube.com/watch?v=3ml7BH7mNwQ</t>
  </si>
  <si>
    <t>Press dumbbells overhead, rotating palms as you press.</t>
  </si>
  <si>
    <t>Arnold Shoulder Press</t>
  </si>
  <si>
    <t>https://www.youtube.com/watch?v=6Z15_WdXmVw</t>
  </si>
  <si>
    <t>Shoulder press with palms rotating inward.</t>
  </si>
  <si>
    <t>Around the World Squat</t>
  </si>
  <si>
    <t>https://www.youtube.com/watch?v=xbj6TtFJgIY</t>
  </si>
  <si>
    <t>Squat while moving weight in circular motion.</t>
  </si>
  <si>
    <t>Around the Worlds (weight optional)</t>
  </si>
  <si>
    <t>https://www.youtube.com/watch?v=9uqGfOvtqn0</t>
  </si>
  <si>
    <t>Rotate arms holding weight around body.</t>
  </si>
  <si>
    <t>Assisted Bodyweight Squat to Box</t>
  </si>
  <si>
    <t>https://www.youtube.com/watch?v=WnADyvqlfDg</t>
  </si>
  <si>
    <t>Squat with assistance to a box for controlled movement.</t>
  </si>
  <si>
    <t>Assisted Chin-Ups</t>
  </si>
  <si>
    <t>Back</t>
  </si>
  <si>
    <t>https://www.youtube.com/watch?v=A-uiFTIsgRg</t>
  </si>
  <si>
    <t>Use assistance to perform chin-ups.</t>
  </si>
  <si>
    <t>Assisted Lateral Squat</t>
  </si>
  <si>
    <t>https://www.youtube.com/watch?v=wTQ_wwE-ZuI</t>
  </si>
  <si>
    <t>Squat laterally with assistance for balance.</t>
  </si>
  <si>
    <t>Assisted Nordic Curls</t>
  </si>
  <si>
    <t>https://www.youtube.com/watch?v=49Uozp9wfik</t>
  </si>
  <si>
    <t>Perform Nordic curls with assistance to target hamstrings.</t>
  </si>
  <si>
    <t>Assisted Pull-ups</t>
  </si>
  <si>
    <t>https://www.youtube.com/watch?v=wFj808u2HWU</t>
  </si>
  <si>
    <t>Use assistance to perform pull-ups.</t>
  </si>
  <si>
    <t>Assisted Reverse Lunge With Blocked Knee</t>
  </si>
  <si>
    <t>https://www.youtube.com/watch?v=a2BOfZ1Ll8E</t>
  </si>
  <si>
    <t>Lunge back with assistance, block knee at floor.</t>
  </si>
  <si>
    <t>Back Extension</t>
  </si>
  <si>
    <t>https://www.youtube.com/watch?v=H8Swl1N-uis</t>
  </si>
  <si>
    <t>Engage lower back muscles by lifting torso off the floor.</t>
  </si>
  <si>
    <t>Back Extension to Y's</t>
  </si>
  <si>
    <t>https://www.youtube.com/watch?v=ph3pddpKzzw&amp;pp=ygUVQmFjayBFeHRlbnNpb24gdG8gWSdz</t>
  </si>
  <si>
    <t>Extend arms to form a Y shape while lifting torso.</t>
  </si>
  <si>
    <t>Back Lunge into Kickback</t>
  </si>
  <si>
    <t>https://www.youtube.com/watch?v=rkpvx4DuJJI&amp;pp=ygUYQmFjayBMdW5nZSBpbnRvIEtpY2tiYWNr</t>
  </si>
  <si>
    <t>Lunge back, then kick back while engaging glutes.</t>
  </si>
  <si>
    <t>Back Squat</t>
  </si>
  <si>
    <t>https://www.youtube.com/watch?v=ultWZbUMPL8&amp;pp=ygUKQmFjayBTcXVhdA%3D%3D</t>
  </si>
  <si>
    <t>Place barbell on shoulders, squat while keeping form.</t>
  </si>
  <si>
    <t>Back-Supported Pullover</t>
  </si>
  <si>
    <t>https://www.youtube.com/watch?v=FK4rHfWKEac&amp;pp=ygUXQmFjay1TdXBwb3J0ZWQgUHVsbG92ZXI%3D</t>
  </si>
  <si>
    <t>Engage upper back and chest while extending arms.</t>
  </si>
  <si>
    <t>Backward Walking</t>
  </si>
  <si>
    <t>https://www.youtube.com/watch?v=zWTQ9UPsmf4&amp;pp=ygUXQmFja3dhcmQgV2Fsa2luZyB1cGhpbGw%3D</t>
  </si>
  <si>
    <t>Walk backward to challenge balance and coordination.</t>
  </si>
  <si>
    <t>Ball Slam To Jump</t>
  </si>
  <si>
    <t>https://www.youtube.com/watch?v=zLDENYTNhHg&amp;pp=ygURQmFsbCBTbGFtIFRvIEp1bXA%3D</t>
  </si>
  <si>
    <t>Slam medicine ball, then jump, engaging full body.</t>
  </si>
  <si>
    <t>Ball Squat to Press</t>
  </si>
  <si>
    <t>https://www.youtube.com/watch?v=GyTTtBAvc4s&amp;pp=ygUTQmFsbCBTcXVhdCB0byBQcmVzcw%3D%3D</t>
  </si>
  <si>
    <t>Squat while pressing medicine ball overhead.</t>
  </si>
  <si>
    <t>Band Press-Down</t>
  </si>
  <si>
    <t>https://www.youtube.com/watch?v=h6tQmRu9h2E&amp;pp=ygUPQmFuZCBQcmVzcy1Eb3du</t>
  </si>
  <si>
    <t>Use resistance band to perform triceps press-down.</t>
  </si>
  <si>
    <t>Band Pull Apart</t>
  </si>
  <si>
    <t>https://www.youtube.com/watch?v=stwYTTPXubo</t>
  </si>
  <si>
    <t>Pull resistance band apart to work upper back.</t>
  </si>
  <si>
    <t>Band Up and Overs</t>
  </si>
  <si>
    <t>https://www.youtube.com/watch?v=BvyQEahQ3XA</t>
  </si>
  <si>
    <t>Step on band, perform lateral raises with band.</t>
  </si>
  <si>
    <t>Band-Assisted Chin-Up</t>
  </si>
  <si>
    <t>Use band assistance to perform chin-ups.</t>
  </si>
  <si>
    <t>Band-Assisted Inverted Row</t>
  </si>
  <si>
    <t>https://www.youtube.com/watch?v=pKjbIyQmHiU</t>
  </si>
  <si>
    <t>Perform inverted row using resistance band.</t>
  </si>
  <si>
    <t>Band-Assisted Neutral-Grip Pull-Up</t>
  </si>
  <si>
    <t>https://www.youtube.com/watch?v=rznRMNKJTUQ</t>
  </si>
  <si>
    <t>Use band assistance for neutral-grip pull-ups.</t>
  </si>
  <si>
    <t>Band-Assisted Pull-Up</t>
  </si>
  <si>
    <t>Perform pull-ups using resistance band assistance.</t>
  </si>
  <si>
    <t>Band-Assisted Pushup</t>
  </si>
  <si>
    <t>https://www.youtube.com/watch?v=Saq-JVbRZx0</t>
  </si>
  <si>
    <t>Use band assistance to perform push-ups.</t>
  </si>
  <si>
    <t>Band-Resisted Ab Wheel Iso</t>
  </si>
  <si>
    <t>https://www.youtube.com/watch?v=K4VQ2WE3R-U</t>
  </si>
  <si>
    <t>Perform ab wheel isometrically with resistance band.</t>
  </si>
  <si>
    <t>Band-Resisted Goblet Squat</t>
  </si>
  <si>
    <t>https://www.youtube.com/watch?v=W3sp_uGF9XA</t>
  </si>
  <si>
    <t>Add resistance with band to goblet squats.</t>
  </si>
  <si>
    <t>Band-Resisted Pull-Up</t>
  </si>
  <si>
    <t>https://www.youtube.com/watch?v=auPG8gUWiFw</t>
  </si>
  <si>
    <t>Perform pull-ups with added resistance from band.</t>
  </si>
  <si>
    <t>Band-Resisted Pushup</t>
  </si>
  <si>
    <t>https://www.youtube.com/watch?v=cOFwFzzLFWw</t>
  </si>
  <si>
    <t>Add resistance to push-ups using a band.</t>
  </si>
  <si>
    <t>Band-Resisted Ring Pushup</t>
  </si>
  <si>
    <t>https://www.youtube.com/watch?v=kPfMkZc_Chg</t>
  </si>
  <si>
    <t>Perform push-ups with resistance using rings and band.</t>
  </si>
  <si>
    <t>Band-Resisted Squat</t>
  </si>
  <si>
    <t>https://www.youtube.com/watch?v=jz47v0Uj1cY</t>
  </si>
  <si>
    <t>Squat with resistance band for added challenge.</t>
  </si>
  <si>
    <t>Banded Curl</t>
  </si>
  <si>
    <t>https://www.youtube.com/watch?v=MkPz57rN2nw</t>
  </si>
  <si>
    <t>Perform curls using resistance band.</t>
  </si>
  <si>
    <t>Banded Curtsey Lunge into Abduction</t>
  </si>
  <si>
    <t>https://www.youtube.com/watch?v=7jwHVv51Zro</t>
  </si>
  <si>
    <t>Lunge while abducting the leg, using resistance band.</t>
  </si>
  <si>
    <t>Banded Eccentric Pause Squats</t>
  </si>
  <si>
    <t>https://www.youtube.com/watch?v=DYs9eFN_c5Y</t>
  </si>
  <si>
    <t>Perform squats with an eccentric pause using resistance band.</t>
  </si>
  <si>
    <t>Banded Face Pull</t>
  </si>
  <si>
    <t>https://www.youtube.com/watch?v=Wq-Td9UXRK8</t>
  </si>
  <si>
    <t>Use resistance band for face pulls targeting rear delts.</t>
  </si>
  <si>
    <t>Banded Frog Thrusts</t>
  </si>
  <si>
    <t>https://www.youtube.com/watch?v=h16B74bduTY</t>
  </si>
  <si>
    <t>Perform frog thrusts with added resistance from a band.</t>
  </si>
  <si>
    <t>Banded Glute Walks</t>
  </si>
  <si>
    <t>https://www.youtube.com/watch?v=wQjJXuVEsEc</t>
  </si>
  <si>
    <t>Walk sideways using resistance band for glute activation.</t>
  </si>
  <si>
    <t>Banded Hip Extension</t>
  </si>
  <si>
    <t>https://www.youtube.com/watch?v=FiyLIMmOs5w</t>
  </si>
  <si>
    <t>Use resistance band to perform hip extensions.</t>
  </si>
  <si>
    <t>Banded Hip Thrust to Abduction</t>
  </si>
  <si>
    <t>https://www.youtube.com/watch?v=R-xLxPU5orI</t>
  </si>
  <si>
    <t>Hip thrust with abduction using resistance band.</t>
  </si>
  <si>
    <t>Banded Kickbacks</t>
  </si>
  <si>
    <t>https://www.youtube.com/watch?v=O5-ROTyo2dA</t>
  </si>
  <si>
    <t>Perform kickbacks using resistance band.</t>
  </si>
  <si>
    <t>Banded No Money</t>
  </si>
  <si>
    <t>https://www.youtube.com/watch?v=KqTgISFdmew</t>
  </si>
  <si>
    <t>Perform "No Money" exercise with resistance band.</t>
  </si>
  <si>
    <t>Banded Pull-Down</t>
  </si>
  <si>
    <t>https://www.youtube.com/watch?v=0H7d2qjyKbU</t>
  </si>
  <si>
    <t>Perform pull-downs using resistance band.</t>
  </si>
  <si>
    <t>Banded Reverse Lunge to Kick Back</t>
  </si>
  <si>
    <t>https://www.youtube.com/watch?v=P3QJbq1z_NA</t>
  </si>
  <si>
    <t>Lunge back and perform kickback using resistance band.</t>
  </si>
  <si>
    <t>Banded Rotator Cuff Internal/External Rotation</t>
  </si>
  <si>
    <t>https://www.youtube.com/watch?v=8zJtj0Bw6D0</t>
  </si>
  <si>
    <t>Work rotator cuff with resistance band.</t>
  </si>
  <si>
    <t>Banded Rows</t>
  </si>
  <si>
    <t>https://www.youtube.com/watch?v=j5l0wcEOq1E</t>
  </si>
  <si>
    <t>Perform rows using resistance band.</t>
  </si>
  <si>
    <t>Banded Scapular Protraction</t>
  </si>
  <si>
    <t>https://www.youtube.com/watch?v=3AZ_iF-_RFE</t>
  </si>
  <si>
    <t>Protract scapula using resistance band.</t>
  </si>
  <si>
    <t>Banded Side Plank Abduction</t>
  </si>
  <si>
    <t>https://www.youtube.com/watch?v=U0O86X0TMek</t>
  </si>
  <si>
    <t>Engage side plank with added abduction from a band.</t>
  </si>
  <si>
    <t>Banded Tube Walks</t>
  </si>
  <si>
    <t>https://www.youtube.com/watch?v=855BmSh1q_Y</t>
  </si>
  <si>
    <t>Walk using resistance band around legs for activation.</t>
  </si>
  <si>
    <t>Banded Walks</t>
  </si>
  <si>
    <t>https://www.youtube.com/watch?v=dgbhiejP7oI</t>
  </si>
  <si>
    <t>Perform walks using resistance band for muscle engagement.</t>
  </si>
  <si>
    <t>Barbell Back Squat</t>
  </si>
  <si>
    <t>https://www.youtube.com/watch?v=8PMjqgR8Wa8</t>
  </si>
  <si>
    <t>Squat with barbell on shoulders to work lower body.</t>
  </si>
  <si>
    <t>https://www.youtube.com/watch?v=rT7DgCr-3pg</t>
  </si>
  <si>
    <t>Press barbell from chest to target chest muscles.</t>
  </si>
  <si>
    <t>Barbell Bench Press From Pins</t>
  </si>
  <si>
    <t>https://www.youtube.com/watch?v=t2aOUqhQIBU</t>
  </si>
  <si>
    <t>Press barbell from pins to target chest muscles.</t>
  </si>
  <si>
    <t>https://www.youtube.com/watch?v=Nqh7q3zDCoQ</t>
  </si>
  <si>
    <t>Row barbell to engage upper back muscles.</t>
  </si>
  <si>
    <t>https://www.youtube.com/watch?v=QZEqB6wUPxQ</t>
  </si>
  <si>
    <t>Perform curls with barbell to target biceps.</t>
  </si>
  <si>
    <t>Barbell Box Squat</t>
  </si>
  <si>
    <t>https://www.youtube.com/watch?v=nBc_2Jyp3tM</t>
  </si>
  <si>
    <t>Squat onto a box or bench with barbell for depth control.</t>
  </si>
  <si>
    <t>Barbell Bulgarian Split Squat</t>
  </si>
  <si>
    <t>https://www.youtube.com/watch?v=-4LVK1crLSw</t>
  </si>
  <si>
    <t>Perform split squat with rear foot elevated and barbell.</t>
  </si>
  <si>
    <t>Barbell Chest-Supported T-Bar Row</t>
  </si>
  <si>
    <t>https://www.youtube.com/watch?v=ly5AOZB0bc4</t>
  </si>
  <si>
    <t>Row barbell while chest-supported to engage back muscles.</t>
  </si>
  <si>
    <t>Barbell Close Grip 2-pause bench press</t>
  </si>
  <si>
    <t>Chest, Triceps</t>
  </si>
  <si>
    <t>https://www.youtube.com/watch?v=Cv5nS1AH_jE</t>
  </si>
  <si>
    <t>Bench press with close grip, pausing at chest and triceps.</t>
  </si>
  <si>
    <t>https://www.youtube.com/watch?v=vEUyEOVn3yM</t>
  </si>
  <si>
    <t>Bench press with close grip to target triceps.</t>
  </si>
  <si>
    <t>Barbell Close-Grip Biceps Curl</t>
  </si>
  <si>
    <t>https://www.youtube.com/watch?v=vSupPQiBkeY</t>
  </si>
  <si>
    <t>Perform biceps curls with close grip on barbell.</t>
  </si>
  <si>
    <t>Barbell Concentration Biceps Curl</t>
  </si>
  <si>
    <t>Concentrate on curling barbell for biceps isolation.</t>
  </si>
  <si>
    <t>Barbell Curl</t>
  </si>
  <si>
    <t>https://www.youtube.com/watch?v=uvhnpOjDye8</t>
  </si>
  <si>
    <t>Perform classic biceps curls with barbell.</t>
  </si>
  <si>
    <t>Barbell Deadlift</t>
  </si>
  <si>
    <t>Back, Legs</t>
  </si>
  <si>
    <t>https://www.youtube.com/watch?v=vfKwjT5-86k</t>
  </si>
  <si>
    <t>Lift barbell from the ground to work entire body.</t>
  </si>
  <si>
    <t>Barbell Deadlifts from Blocks</t>
  </si>
  <si>
    <t>https://www.youtube.com/watch?v=jNIUXckSaDA</t>
  </si>
  <si>
    <t>Deadlifts starting from blocks for partial range.</t>
  </si>
  <si>
    <t>Barbell Deadlifts from Deficit</t>
  </si>
  <si>
    <t>https://www.youtube.com/watch?v=CpWsUsqBtN8</t>
  </si>
  <si>
    <t>Deadlifts from a deficit for greater range of motion.</t>
  </si>
  <si>
    <t>Barbell Decline Bench Press</t>
  </si>
  <si>
    <t>https://www.youtube.com/watch?v=LfyQBUKR8SE</t>
  </si>
  <si>
    <t>Bench press on decline bench to target lower chest.</t>
  </si>
  <si>
    <t>Barbell Decline Bench Triceps Extension</t>
  </si>
  <si>
    <t>https://www.youtube.com/watch?v=Xrg96YYN0Fc</t>
  </si>
  <si>
    <t>Perform triceps extensions on decline bench.</t>
  </si>
  <si>
    <t>Barbell Deficit Reverse Lunge</t>
  </si>
  <si>
    <t>https://www.youtube.com/watch?v=ZPp34SHzQqA</t>
  </si>
  <si>
    <t>Lunge from a deficit to challenge balance and range.</t>
  </si>
  <si>
    <t>Barbell Flat Bench Triceps Extension</t>
  </si>
  <si>
    <t>Triceps</t>
  </si>
  <si>
    <t>https://www.youtube.com/watch?v=hOwZLq1VSRg</t>
  </si>
  <si>
    <t>Perform triceps extensions on flat bench.</t>
  </si>
  <si>
    <t>Barbell Floor Press</t>
  </si>
  <si>
    <t>https://www.youtube.com/watch?v=9vYCwtHkWgI&amp;pp=ygUTQmFyYmVsbCBGbG9vciBQcmVzcw%3D%3D</t>
  </si>
  <si>
    <t>Bench press while lying on the floor.</t>
  </si>
  <si>
    <t>Barbell Front Raise</t>
  </si>
  <si>
    <t>https://www.youtube.com/watch?v=_ikCPws1mbE</t>
  </si>
  <si>
    <t>Lift barbell to the front to target shoulder muscles.</t>
  </si>
  <si>
    <t>Barbell Front Squat</t>
  </si>
  <si>
    <t>https://www.youtube.com/watch?v=VfBOBhwXbro&amp;pp=ygUTQmFyYmVsbCBGcm9udCBTcXVhdA%3D%3D</t>
  </si>
  <si>
    <t>Front squat with barbell for quad and core engagement.</t>
  </si>
  <si>
    <t>Barbell Front Squat Iso</t>
  </si>
  <si>
    <t>https://www.youtube.com/watch?v=nfkphUz7qVk</t>
  </si>
  <si>
    <t>Hold front squat position for isometric challenge.</t>
  </si>
  <si>
    <t>Barbell Front Squat to Box</t>
  </si>
  <si>
    <t>https://www.youtube.com/watch?v=RbMi6CQfGkk</t>
  </si>
  <si>
    <t>Front squat while targeting a specific depth with box.</t>
  </si>
  <si>
    <t>Barbell Glute Bridge</t>
  </si>
  <si>
    <t>Glutes</t>
  </si>
  <si>
    <t>https://www.youtube.com/watch?v=nbjJjSa0cKo</t>
  </si>
  <si>
    <t>Engage glutes and hips with barbell bridge exercise.</t>
  </si>
  <si>
    <t>Barbell Glute Bridges</t>
  </si>
  <si>
    <t>https://www.youtube.com/watch?v=ylpfCk3i-0Y</t>
  </si>
  <si>
    <t>Perform bridge exercise with barbell for glutes.</t>
  </si>
  <si>
    <t>Barbell Hip Thrust</t>
  </si>
  <si>
    <t>https://www.youtube.com/watch?v=Zp26q4BY5HE</t>
  </si>
  <si>
    <t>Thrust hips upward with barbell for glute activation.</t>
  </si>
  <si>
    <t>Barbell Incline Bench Press</t>
  </si>
  <si>
    <t>Chest, Shoulders</t>
  </si>
  <si>
    <t>https://www.youtube.com/watch?v=SrqOu55lrYU</t>
  </si>
  <si>
    <t>Press barbell on incline bench to target upper chest.</t>
  </si>
  <si>
    <t>Barbell Incline Bench Row</t>
  </si>
  <si>
    <t>https://www.youtube.com/watch?v=KXjNfZZ0SDY</t>
  </si>
  <si>
    <t>Row barbell while lying on incline bench.</t>
  </si>
  <si>
    <t>Barbell Incline Bench Triceps Extension</t>
  </si>
  <si>
    <t>https://www.youtube.com/watch?v=ceBWWifK11M</t>
  </si>
  <si>
    <t>Perform triceps extensions on incline bench.</t>
  </si>
  <si>
    <t>Barbell JM Press</t>
  </si>
  <si>
    <t>https://www.youtube.com/watch?v=rZcWkXEOKGI</t>
  </si>
  <si>
    <t>Perform JM press with barbell for triceps engagement.</t>
  </si>
  <si>
    <t>Barbell Jump Squat</t>
  </si>
  <si>
    <t>https://www.youtube.com/watch?v=0pTBkUPuMkk</t>
  </si>
  <si>
    <t>Squat and jump explosively with barbell.</t>
  </si>
  <si>
    <t>Barbell One-Arm Linear Jammer</t>
  </si>
  <si>
    <t>https://www.youtube.com/watch?v=De2G39d8S6E</t>
  </si>
  <si>
    <t>Jam barbell using one arm to challenge stabilizers.</t>
  </si>
  <si>
    <t>Barbell One-Arm Row</t>
  </si>
  <si>
    <t>https://www.youtube.com/watch?v=1W1MnqIIZ7k</t>
  </si>
  <si>
    <t>Perform one-arm rows with barbell for back muscles.</t>
  </si>
  <si>
    <t>Barbell Overhead Press</t>
  </si>
  <si>
    <t>https://www.youtube.com/watch?v=_RlRDWO2jfg</t>
  </si>
  <si>
    <t>Press barbell overhead to target shoulder muscles.</t>
  </si>
  <si>
    <t>Barbell Overhead Shrug</t>
  </si>
  <si>
    <t>https://www.youtube.com/watch?v=xFlj3GiiRj4</t>
  </si>
  <si>
    <t>Shrug barbell overhead to engage upper traps.</t>
  </si>
  <si>
    <t>Barbell Overhead Triceps Extension</t>
  </si>
  <si>
    <t>https://www.youtube.com/watch?v=szES3xIzJPo</t>
  </si>
  <si>
    <t>Perform triceps extensions overhead with barbell.</t>
  </si>
  <si>
    <t>Barbell Pause Bench Press</t>
  </si>
  <si>
    <t>https://www.youtube.com/watch?v=dVM-rN5cd4E</t>
  </si>
  <si>
    <t>Bench press with pause at chest to challenge muscles.</t>
  </si>
  <si>
    <t>Barbell Pause Larsen Bench Press</t>
  </si>
  <si>
    <t>https://www.youtube.com/watch?v=Ilt0GuTwB_Y</t>
  </si>
  <si>
    <t>Bench press with pause, emphasizing triceps work.</t>
  </si>
  <si>
    <t>Barbell Pause Squats</t>
  </si>
  <si>
    <t>https://www.youtube.com/watch?v=nknf16JJTZo</t>
  </si>
  <si>
    <t>Perform squats with a pause for strength development.</t>
  </si>
  <si>
    <t>Barbell Pendlay Row</t>
  </si>
  <si>
    <t>https://www.youtube.com/watch?v=kmFx0tti3ds</t>
  </si>
  <si>
    <t>Row barbell from the ground to engage back muscles.</t>
  </si>
  <si>
    <t>Barbell Plate Ab Twist</t>
  </si>
  <si>
    <t>https://www.youtube.com/watch?v=pDTHSnoGoEc</t>
  </si>
  <si>
    <t>Twist while holding barbell plate to engage obliques.</t>
  </si>
  <si>
    <t>Barbell Power Shrugs</t>
  </si>
  <si>
    <t>Shoulders, Back</t>
  </si>
  <si>
    <t>https://www.youtube.com/watch?v=96NFt3oTvpI</t>
  </si>
  <si>
    <t>Perform powerful shrugs using barbell for traps.</t>
  </si>
  <si>
    <t>Barbell Preacher Biceps Curl</t>
  </si>
  <si>
    <t>https://www.youtube.com/watch?v=Gydpcouclx8</t>
  </si>
  <si>
    <t>Curl barbell using preacher curl bench for biceps.</t>
  </si>
  <si>
    <t>Barbell Push Press</t>
  </si>
  <si>
    <t>https://www.youtube.com/watch?v=iaBVSJm78ko</t>
  </si>
  <si>
    <t>Press barbell overhead using leg drive for power.</t>
  </si>
  <si>
    <t>Barbell RDL</t>
  </si>
  <si>
    <t>Legs, Back</t>
  </si>
  <si>
    <t>https://www.youtube.com/watch?v=5rIqP63yWFg</t>
  </si>
  <si>
    <t>Romanian deadlift using barbell for hamstring work.</t>
  </si>
  <si>
    <t>Barbell Regular-Grip Biceps Curl</t>
  </si>
  <si>
    <t>Perform biceps curls with regular grip on barbell.</t>
  </si>
  <si>
    <t>Barbell Reverse Curl (Pronated Grip)</t>
  </si>
  <si>
    <t>https://www.youtube.com/watch?v=W32gBdbEeoU</t>
  </si>
  <si>
    <t>Curl barbell using pronated grip for biceps work.</t>
  </si>
  <si>
    <t>Barbell Reverse Grip Bent Over</t>
  </si>
  <si>
    <t>https://www.youtube.com/watch?v=3gdGSSgDby8</t>
  </si>
  <si>
    <t>Perform bent-over rows with reverse grip on barbell.</t>
  </si>
  <si>
    <t>Barbell Reverse Grip Curl</t>
  </si>
  <si>
    <t>Perform curls using reverse grip on barbell.</t>
  </si>
  <si>
    <t>Barbell Reverse Lunge</t>
  </si>
  <si>
    <t>https://www.youtube.com/watch?v=U5Q5HfUyy78</t>
  </si>
  <si>
    <t>Lunge back while holding barbell for lower body.</t>
  </si>
  <si>
    <t>Barbell Reverse Lunge With a Front Squat Grip</t>
  </si>
  <si>
    <t>https://www.youtube.com/watch?v=6BqR5996pcE</t>
  </si>
  <si>
    <t>Lunge back, hold barbell with front squat grip.</t>
  </si>
  <si>
    <t>Barbell Reverse-Grip Biceps Curl</t>
  </si>
  <si>
    <t>https://www.youtube.com/watch?v=nRgxYX2Ve9w</t>
  </si>
  <si>
    <t>Curl barbell with reverse grip for biceps work.</t>
  </si>
  <si>
    <t>Barbell Romanian Deadlift</t>
  </si>
  <si>
    <t>Perform Romanian deadlift with barbell for hamstrings.</t>
  </si>
  <si>
    <t>Barbell Seated Shoulder Press</t>
  </si>
  <si>
    <t>https://www.youtube.com/watch?v=oBGeXxnigsQ</t>
  </si>
  <si>
    <t>Press barbell overhead while seated for shoulder work.</t>
  </si>
  <si>
    <t>Barbell Shrug</t>
  </si>
  <si>
    <t>https://www.youtube.com/watch?v=NAqCVe2mwzM</t>
  </si>
  <si>
    <t>Perform shrugs with barbell to target traps.</t>
  </si>
  <si>
    <t>Barbell Skull Crushers</t>
  </si>
  <si>
    <t>https://www.youtube.com/watch?v=gTrlbuuMufQ</t>
  </si>
  <si>
    <t>Perform skull crushers with barbell to target triceps.</t>
  </si>
  <si>
    <t>Barbell Slideboard Reverse Lunge</t>
  </si>
  <si>
    <t>https://www.youtube.com/watch?v=L3ntiAhV3Zs</t>
  </si>
  <si>
    <t>Lunge back using slideboard and barbell for added challenge.</t>
  </si>
  <si>
    <t>Barbell Split Squat</t>
  </si>
  <si>
    <t>https://www.youtube.com/watch?v=r1jukGZPnZI</t>
  </si>
  <si>
    <t>Perform split squats with barbell for leg engagement.</t>
  </si>
  <si>
    <t>Barbell Spoto Bench Press</t>
  </si>
  <si>
    <t>https://www.youtube.com/watch?v=ydJEnuvvgNU</t>
  </si>
  <si>
    <t>Bench press with pause just above chest to target strength.</t>
  </si>
  <si>
    <t>Barbell Squat</t>
  </si>
  <si>
    <t>https://www.youtube.com/watch?v=gslEzVggur8</t>
  </si>
  <si>
    <t>Perform classic squat with barbell for lower body.</t>
  </si>
  <si>
    <t>Barbell Standing Lunge</t>
  </si>
  <si>
    <t>https://www.youtube.com/watch?v=ci4rsmlOk24</t>
  </si>
  <si>
    <t>Perform lunges while holding barbell for leg work.</t>
  </si>
  <si>
    <t>Barbell Standing Overhead Press</t>
  </si>
  <si>
    <t>https://www.youtube.com/watch?v=2yjwXTZQDDI</t>
  </si>
  <si>
    <t>Press barbell overhead while standing to target shoulders.</t>
  </si>
  <si>
    <t>Barbell Standing Shoulder Press</t>
  </si>
  <si>
    <t>Shoulder press with barbell while standing.</t>
  </si>
  <si>
    <t>Barbell Step Up</t>
  </si>
  <si>
    <t>https://www.youtube.com/watch?v=860722r7v2E</t>
  </si>
  <si>
    <t>Step up onto platform while holding barbell for leg work.</t>
  </si>
  <si>
    <t>Barbell Stiff Leg Deadlift</t>
  </si>
  <si>
    <t>https://www.youtube.com/watch?v=q3mVYFBaLq4</t>
  </si>
  <si>
    <t>Perform stiff-leg deadlift with barbell for hamstrings.</t>
  </si>
  <si>
    <t>Barbell Stiff-Legged Deadlift</t>
  </si>
  <si>
    <t>Engage hamstrings with stiff-legged deadlift using barbell.</t>
  </si>
  <si>
    <t>Barbell Sumo Deadlift</t>
  </si>
  <si>
    <t>https://www.youtube.com/watch?v=7gRCzkbCT24</t>
  </si>
  <si>
    <t>Perform sumo deadlift with barbell to target legs and back.</t>
  </si>
  <si>
    <t>Barbell T-Bar Row</t>
  </si>
  <si>
    <t>https://www.youtube.com/watch?v=8c23NBbwLBc</t>
  </si>
  <si>
    <t>Row using T-Bar machine or landmine attachment with barbell.</t>
  </si>
  <si>
    <t>Barbell Tempo Bench Press</t>
  </si>
  <si>
    <t>https://www.youtube.com/watch?v=IZX5bS5rPkk</t>
  </si>
  <si>
    <t>Perform bench press with tempo for muscle engagement.</t>
  </si>
  <si>
    <t>Barbell Touch n Go Bench Press</t>
  </si>
  <si>
    <t>https://www.youtube.com/watch?v=Kg0N3nie2Xc</t>
  </si>
  <si>
    <t>Bench press without pause at chest for continuous motion.</t>
  </si>
  <si>
    <t>Barbell Upright Row</t>
  </si>
  <si>
    <t>https://www.youtube.com/watch?v=vJ8x0Oz06gw</t>
  </si>
  <si>
    <t>Perform upright rows with barbell to work shoulders.</t>
  </si>
  <si>
    <t>Barbell Upright Row (Overhand)</t>
  </si>
  <si>
    <t>https://www.youtube.com/watch?v=vRn2-mX6wjI</t>
  </si>
  <si>
    <t>Engage shoulders with overhand grip upright rows.</t>
  </si>
  <si>
    <t>Barbell Walking Lunge</t>
  </si>
  <si>
    <t>https://www.youtube.com/watch?v=r0DBxI9XiNM</t>
  </si>
  <si>
    <t>Lunge while walking and holding barbell for leg work.</t>
  </si>
  <si>
    <t>Barbell Wide-Grip Biceps Curl</t>
  </si>
  <si>
    <t>https://www.youtube.com/watch?v=jnfveKq1i3E</t>
  </si>
  <si>
    <t>Curl barbell using wide grip to target biceps.</t>
  </si>
  <si>
    <t>Barbell Z Press</t>
  </si>
  <si>
    <t>https://www.youtube.com/watch?v=0fHdnBH9Gdo</t>
  </si>
  <si>
    <t>Press barbell overhead while sitting on floor for shoulders.</t>
  </si>
  <si>
    <t>Battle Rope</t>
  </si>
  <si>
    <t>Full Body</t>
  </si>
  <si>
    <t>https://www.youtube.com/watch?v=658VcTBuovQ</t>
  </si>
  <si>
    <t>Perform waves or slams with battle rope for cardio and strength.</t>
  </si>
  <si>
    <t>Bear Crawl</t>
  </si>
  <si>
    <t>https://www.youtube.com/watch?v=Ee1BQNI6zN4</t>
  </si>
  <si>
    <t>Crawl on hands and feet to engage core and upper body.</t>
  </si>
  <si>
    <t>Bear Knee Taps</t>
  </si>
  <si>
    <t>https://www.youtube.com/watch?v=R0s1lxjh2OM</t>
  </si>
  <si>
    <t>Tap knees to floor while maintaining bear crawl position.</t>
  </si>
  <si>
    <t>Bear Plank 360's</t>
  </si>
  <si>
    <t>https://www.youtube.com/watch?v=ASThkQl4fWghttps://www.youtube.com/watch?v=ASThkQl4fWg</t>
  </si>
  <si>
    <t>Rotate in plank position, engaging core and shoulders.</t>
  </si>
  <si>
    <t>Bear Plank Hip Abduction</t>
  </si>
  <si>
    <t>Core, Hips</t>
  </si>
  <si>
    <t>https://www.youtube.com/watch?v=eqEjbNIh8F4</t>
  </si>
  <si>
    <t>Engage hips and glutes while abducting legs in bear plank.</t>
  </si>
  <si>
    <t>Belt Squat</t>
  </si>
  <si>
    <t>https://www.youtube.com/watch?v=ydyqe7RzTkA</t>
  </si>
  <si>
    <t>Squat using a belt for added resistance without barbell.</t>
  </si>
  <si>
    <t>Bench Hops</t>
  </si>
  <si>
    <t>https://www.youtube.com/watch?v=9ODXwMo2Dzc</t>
  </si>
  <si>
    <t>Perform hops while seated on bench for lower body.</t>
  </si>
  <si>
    <t>Bench Lateral Stretch</t>
  </si>
  <si>
    <t>Stretch</t>
  </si>
  <si>
    <t>https://www.youtube.com/watch?v=6Fc0u9xPkL8</t>
  </si>
  <si>
    <t>Stretch laterally while seated on bench to release tension.</t>
  </si>
  <si>
    <t>Bench Push-ups</t>
  </si>
  <si>
    <t>https://www.youtube.com/watch?v=5MhQS8nU-HU</t>
  </si>
  <si>
    <t>Perform push-ups with hands on bench to modify difficulty.</t>
  </si>
  <si>
    <t>Bench Stretch</t>
  </si>
  <si>
    <t>https://www.youtube.com/watch?v=PMW9R3uZyxw</t>
  </si>
  <si>
    <t>Stretch while seated on bench to release tension.</t>
  </si>
  <si>
    <t>Bent Knee Air Crunch</t>
  </si>
  <si>
    <t>https://www.youtube.com/watch?v=shT17pjkMaI</t>
  </si>
  <si>
    <t>Perform air crunches with bent knees for ab engagement.</t>
  </si>
  <si>
    <t>Bent Knee Jack Knife</t>
  </si>
  <si>
    <t>https://www.youtube.com/watch?v=QMTsahie_98</t>
  </si>
  <si>
    <t>Perform jackknife with bent knees for core activation.</t>
  </si>
  <si>
    <t>Bent Knee Single Leg Lifts</t>
  </si>
  <si>
    <t>https://www.youtube.com/watch?v=zo2pqw794B0</t>
  </si>
  <si>
    <t>Lift single leg while lying on back with bent knee.</t>
  </si>
  <si>
    <t>Bent Knee Sit Ups</t>
  </si>
  <si>
    <t>https://www.youtube.com/watch?v=eP8jUKP9RT8</t>
  </si>
  <si>
    <t>Perform sit-ups with bent knees to engage core.</t>
  </si>
  <si>
    <t>Bent Knee V-Ups with Arms</t>
  </si>
  <si>
    <t>https://www.youtube.com/watch?v=nfWQihJo-Mc</t>
  </si>
  <si>
    <t>Lift arms and legs to form a V-shape while lying down.</t>
  </si>
  <si>
    <t>Bent Over Alternating Row</t>
  </si>
  <si>
    <t>https://www.youtube.com/watch?v=UKjQMYiQnS0</t>
  </si>
  <si>
    <t>Perform alternating rows while bent over.</t>
  </si>
  <si>
    <t>Bent Over Barbell Row</t>
  </si>
  <si>
    <t>Row barbell while bent over to target upper back.</t>
  </si>
  <si>
    <t>Bent Over Palm Up Row to Curl</t>
  </si>
  <si>
    <t>Back, Biceps</t>
  </si>
  <si>
    <t>https://www.youtube.com/watch?v=gQvdAcH1j9Q</t>
  </si>
  <si>
    <t>Perform row and curl using barbell with palms up.</t>
  </si>
  <si>
    <t>Bent Over Plate Row</t>
  </si>
  <si>
    <t>https://www.youtube.com/watch?v=GV-5bHCEKEc</t>
  </si>
  <si>
    <t>Row plates while bent over to target upper back.</t>
  </si>
  <si>
    <t>Bent Over Pronated Grip (Overhand) Row</t>
  </si>
  <si>
    <t>https://www.youtube.com/watch?v=CU3AZYX0u2Q</t>
  </si>
  <si>
    <t>Perform row with overhand grip while bent over.</t>
  </si>
  <si>
    <t>Bent Over Rear Delt Row</t>
  </si>
  <si>
    <t>https://www.youtube.com/watch?v=2S9juCSwxWw</t>
  </si>
  <si>
    <t>Row using rear delt fly motion to target rear delts.</t>
  </si>
  <si>
    <t>Bent Over Reverse Fly</t>
  </si>
  <si>
    <t>https://www.youtube.com/watch?v=YVQaCafbGOo</t>
  </si>
  <si>
    <t>Perform reverse fly motion while bent over.</t>
  </si>
  <si>
    <t>Engage rear delts and upper back with reverse flyes.</t>
  </si>
  <si>
    <t>Bent Over Row to Bicep Curl</t>
  </si>
  <si>
    <t>Combine row and bicep curl motions for upper body.</t>
  </si>
  <si>
    <t>Bent Over Row to Overhead Press</t>
  </si>
  <si>
    <t>https://www.youtube.com/watch?v=pq4ars8_E3Q</t>
  </si>
  <si>
    <t>Combine row and overhead press motions for upper body.</t>
  </si>
  <si>
    <t>Bent Over Tempo Rows</t>
  </si>
  <si>
    <t>https://www.youtube.com/watch?v=yQ3Q-lSdR6o</t>
  </si>
  <si>
    <t>Perform rows with controlled tempo for muscle engagement.</t>
  </si>
  <si>
    <t>Bent-Knee Hamstring Dynamic</t>
  </si>
  <si>
    <t>https://www.youtube.com/watch?v=f0lBxfbZO3c</t>
  </si>
  <si>
    <t>Engage hamstrings with bent-knee dynamic movements.</t>
  </si>
  <si>
    <t>Bent-Knee Jackknives</t>
  </si>
  <si>
    <t>https://www.youtube.com/watch?v=zg_xPBbmXiw</t>
  </si>
  <si>
    <t>Perform jackknife movements with bent knees.</t>
  </si>
  <si>
    <t>Bent-Over Dumbbell Row</t>
  </si>
  <si>
    <t>https://www.youtube.com/watch?v=knB5Q4FN4ck</t>
  </si>
  <si>
    <t>Perform dumbbell rows while bent over.</t>
  </si>
  <si>
    <t>https://www.youtube.com/watch?v=ykJmrZ5v0Oo</t>
  </si>
  <si>
    <t>Perform classic bicep curls to target biceps.</t>
  </si>
  <si>
    <t>Bicycle Crunch</t>
  </si>
  <si>
    <t>https://www.youtube.com/watch?v=1we3bh9uhqY</t>
  </si>
  <si>
    <t>Engage core muscles with bicycle-like crunches.</t>
  </si>
  <si>
    <t>Bird Dog</t>
  </si>
  <si>
    <t>https://www.youtube.com/watch?v=wiFNA3sqjCA</t>
  </si>
  <si>
    <t>Extend opposite arm and leg for balance and core engagement.</t>
  </si>
  <si>
    <t>Body Weight Ab Crunch</t>
  </si>
  <si>
    <t>https://www.youtube.com/watch?v=z6LRile4YiE</t>
  </si>
  <si>
    <t>Perform crunches using body weight for ab engagement.</t>
  </si>
  <si>
    <t>Body Weight Back Extension</t>
  </si>
  <si>
    <t>Engage lower back muscles with body weight back extension.</t>
  </si>
  <si>
    <t>Body Weight Bench Dip</t>
  </si>
  <si>
    <t>https://www.youtube.com/watch?v=0326dy_-CzM</t>
  </si>
  <si>
    <t>Perform bench dips using body weight for triceps.</t>
  </si>
  <si>
    <t>Body Weight Bulgarian Split-Squat</t>
  </si>
  <si>
    <t>https://www.youtube.com/watch?v=aSJbKnDRIiQ&amp;pp=ygUhQm9keSBXZWlnaHQgQnVsZ2FyaWFuIFNwbGl0LVNxdWF0</t>
  </si>
  <si>
    <t>Perform split squats using body weight for leg work.</t>
  </si>
  <si>
    <t>Body Weight Pike Push-Up</t>
  </si>
  <si>
    <t>Shoulders, Chest</t>
  </si>
  <si>
    <t>https://www.youtube.com/shorts/0cT6ug3WVn4</t>
  </si>
  <si>
    <t>Perform pike push-ups using body weight for shoulders.</t>
  </si>
  <si>
    <t>Body Weight Pistol Squat</t>
  </si>
  <si>
    <t>https://www.youtube.com/watch?v=T2ZIdwvsq1w</t>
  </si>
  <si>
    <t>Perform pistol squats using body weight for legs.</t>
  </si>
  <si>
    <t>Body Weight Plank</t>
  </si>
  <si>
    <t>https://www.youtube.com/watch?v=OOi3tmzUzJo</t>
  </si>
  <si>
    <t>Engage core and stabilize body with plank position.</t>
  </si>
  <si>
    <t>Body Weight Pull-Up</t>
  </si>
  <si>
    <t>https://www.youtube.com/watch?v=XUkb6H9ddiQ</t>
  </si>
  <si>
    <t>Perform pull-ups using body weight for upper body.</t>
  </si>
  <si>
    <t>Body Weight Squat</t>
  </si>
  <si>
    <t>https://www.youtube.com/watch?v=X8DnpBl7Hwk</t>
  </si>
  <si>
    <t>Engage lower body with body weight squats.</t>
  </si>
  <si>
    <t>Body Weight Standing Lunge</t>
  </si>
  <si>
    <t>https://www.youtube.com/watch?v=3XDriUn0udo</t>
  </si>
  <si>
    <t>Perform lunges using body weight for leg engagement.</t>
  </si>
  <si>
    <t>Body Weight Step Up</t>
  </si>
  <si>
    <t>https://www.youtube.com/watch?v=WCFCdxzFBa4</t>
  </si>
  <si>
    <t>Step up onto platform using body weight for leg work.</t>
  </si>
  <si>
    <t>Body Weight Walking Lunge</t>
  </si>
  <si>
    <t>https://www.youtube.com/watch?v=YpKz7GDOgXg</t>
  </si>
  <si>
    <t>Lunge while walking using body weight for leg work.</t>
  </si>
  <si>
    <t>Bodyweight Bulgarian Split Squat</t>
  </si>
  <si>
    <t>https://www.youtube.com/watch?v=uODWo4YqbT8</t>
  </si>
  <si>
    <t>Perform split squats using body weight for leg engagement.</t>
  </si>
  <si>
    <t>Bodyweight Cross-Over Step-Up</t>
  </si>
  <si>
    <t>https://www.youtube.com/watch?v=2u-8FNBy6Ik</t>
  </si>
  <si>
    <t>Step up and cross over with body weight for leg activation.</t>
  </si>
  <si>
    <t>Bodyweight Get-Up</t>
  </si>
  <si>
    <t>https://www.youtube.com/watch?v=KJVa28Rd6HA</t>
  </si>
  <si>
    <t>Use body weight to perform a full body get-up movement.</t>
  </si>
  <si>
    <t>Bodyweight Lateral Lunge With Assistance</t>
  </si>
  <si>
    <t>https://www.youtube.com/watch?v=t8BrYuUVQl0&amp;pp=ygUoQm9keXdlaWdodCBMYXRlcmFsIEx1bmdlIFdpdGggQXNzaXN0YW5jZQ%3D%3D</t>
  </si>
  <si>
    <t>Engage lateral leg muscles with assisted lateral lunges.</t>
  </si>
  <si>
    <t>Bodyweight Lateral Squat</t>
  </si>
  <si>
    <t>https://www.youtube.com/watch?v=0lLIWWSmMm4&amp;pp=ygUYQm9keXdlaWdodCBMYXRlcmFsIFNxdWF0</t>
  </si>
  <si>
    <t>Perform squats in a lateral motion using body weight.</t>
  </si>
  <si>
    <t>Bodyweight Reverse Lunge With Blocked Knee</t>
  </si>
  <si>
    <t>https://www.youtube.com/watch?v=jrYAwn2lpFI&amp;pp=ygUqQm9keXdlaWdodCBSZXZlcnNlIEx1bmdlIFdpdGggQmxvY2tlZCBLbmVl</t>
  </si>
  <si>
    <t>Lunge back while blocking knee with body weight.</t>
  </si>
  <si>
    <t>Bodyweight Side Steps</t>
  </si>
  <si>
    <t>https://www.youtube.com/watch?v=v7vqOK3VFvI&amp;pp=ygUVQm9keXdlaWdodCBTaWRlIFN0ZXBz</t>
  </si>
  <si>
    <t>Take lateral steps using body weight for leg work.</t>
  </si>
  <si>
    <t>Bodyweight Split Squats</t>
  </si>
  <si>
    <t>https://www.youtube.com/watch?v=vvZHaPGOIWU&amp;pp=ygUXQm9keXdlaWdodCBTcGxpdCBTcXVhdHM%3D</t>
  </si>
  <si>
    <t>Bodyweight Squat Thrust</t>
  </si>
  <si>
    <t>https://www.youtube.com/watch?v=fysU2ldlXSY&amp;pp=ygUXQm9keXdlaWdodCBTcXVhdCBUaHJ1c3Q%3D</t>
  </si>
  <si>
    <t>Engage legs and upper body with body weight squat thrust.</t>
  </si>
  <si>
    <t>Bodyweight Squat to Box</t>
  </si>
  <si>
    <t>https://www.youtube.com/watch?v=70vh8vN40c4&amp;pp=ygUXQm9keXdlaWdodCBTcXVhdCB0byBCb3g%3D</t>
  </si>
  <si>
    <t>Squat while targeting a specific depth with box and body weight.</t>
  </si>
  <si>
    <t>Bodyweight Step-Up</t>
  </si>
  <si>
    <t>https://www.youtube.com/watch?v=1jzIPebeINM&amp;pp=ygUSQm9keXdlaWdodCBTdGVwLVVw</t>
  </si>
  <si>
    <t>Bodyweight Tibialis Raise</t>
  </si>
  <si>
    <t>https://www.youtube.com/watch?v=RXC7tE6IQcc&amp;pp=ygUZQm9keXdlaWdodCBUaWJpYWxpcyBSYWlzZQ%3D%3D</t>
  </si>
  <si>
    <t>Engage shins and ankles with body weight tibialis raise.</t>
  </si>
  <si>
    <t>Bowler Squat</t>
  </si>
  <si>
    <t>https://www.youtube.com/watch?v=zb2ftRZ-GiQ&amp;pp=ygUMQm93bGVyIFNxdWF0</t>
  </si>
  <si>
    <t>Perform squats while balancing on one leg for core and leg engagement.</t>
  </si>
  <si>
    <t>Box Jumps</t>
  </si>
  <si>
    <t>https://www.youtube.com/watch?v=NBY9-kTuHEk&amp;pp=ygUJQm94IEp1bXBz</t>
  </si>
  <si>
    <t>Jump onto a box or platform for explosive lower body power.</t>
  </si>
  <si>
    <t>Box Squats</t>
  </si>
  <si>
    <t>https://www.youtube.com/watch?v=rRihE4weYg4&amp;pp=ygUKQm94IFNxdWF0cw%3D%3D</t>
  </si>
  <si>
    <t>Squat onto a box or platform for controlled depth.</t>
  </si>
  <si>
    <t>Box/Tuck Jump</t>
  </si>
  <si>
    <t>https://www.youtube.com/watch?v=MdlpB3LEBVI&amp;pp=ygUNQm94L1R1Y2sgSnVtcA%3D%3D</t>
  </si>
  <si>
    <t>Perform tuck jump while jumping onto a box or platform.</t>
  </si>
  <si>
    <t>Broad Jump</t>
  </si>
  <si>
    <t>https://www.youtube.com/watch?v=uhz-ia-2UcM&amp;pp=ygUKQnJvYWQgSnVtcA%3D%3D</t>
  </si>
  <si>
    <t>Jump forward explosively for lower body power and agility.</t>
  </si>
  <si>
    <t>Broad Jump, Hustle Back</t>
  </si>
  <si>
    <t>https://www.youtube.com/watch?v=w3KaX9dBCfQ&amp;pp=ygUXQnJvYWQgSnVtcCwgSHVzdGxlIEJhY2s%3D</t>
  </si>
  <si>
    <t>Jump forward and quickly return for agility and conditioning.</t>
  </si>
  <si>
    <t>Bulgarian Lunge</t>
  </si>
  <si>
    <t>https://www.youtube.com/watch?v=HBYGeyb4sSM&amp;pp=ygUPQnVsZ2FyaWFuIEx1bmdl</t>
  </si>
  <si>
    <t>Perform lunges with one foot elevated for leg engagement.</t>
  </si>
  <si>
    <t>Bulgarian Split Squat</t>
  </si>
  <si>
    <t>https://www.youtube.com/watch?v=hPlKPjohFS0&amp;pp=ygUVQnVsZ2FyaWFuIFNwbGl0IFNxdWF0</t>
  </si>
  <si>
    <t>Perform split squats with rear foot elevated for leg work.</t>
  </si>
  <si>
    <t>Bulgarian Squat</t>
  </si>
  <si>
    <t>https://www.youtube.com/shorts/wtGCCaPg5gE</t>
  </si>
  <si>
    <t>Squat with one foot elevated for added challenge.</t>
  </si>
  <si>
    <t>Bulgarian Squat w/ Tempo</t>
  </si>
  <si>
    <t>https://www.youtube.com/shorts/F810QU8BnZA</t>
  </si>
  <si>
    <t>Perform Bulgarian squat with controlled tempo for muscle engagement.</t>
  </si>
  <si>
    <t>Burpee</t>
  </si>
  <si>
    <t>https://www.youtube.com/watch?v=auBLPXO8Fww&amp;pp=ygUGQnVycGVl</t>
  </si>
  <si>
    <t>Combine squat, push-up, and jump for full body conditioning.</t>
  </si>
  <si>
    <t>Burpee Plank Jack to Jump Jack</t>
  </si>
  <si>
    <t>https://www.youtube.com/shorts/dN63yXNfgKY</t>
  </si>
  <si>
    <t>Transition from plank to jump jack in burpee for cardio workout.</t>
  </si>
  <si>
    <t>Burpee Push-Up to Break Dancer</t>
  </si>
  <si>
    <t>https://www.youtube.com/shorts/qNQfmbHvFHk</t>
  </si>
  <si>
    <t>Combine push-up and breakdancer move in burpee for dynamic workout.</t>
  </si>
  <si>
    <t>Burpee Push-Ups</t>
  </si>
  <si>
    <t>https://www.youtube.com/watch?v=Qe9aeEfgQTM&amp;pp=ygUPQnVycGVlIFB1c2gtVXBz</t>
  </si>
  <si>
    <t>Perform push-ups in burpee for added upper body engagement.</t>
  </si>
  <si>
    <t>Burpee to Jump Lunge</t>
  </si>
  <si>
    <t>https://www.youtube.com/watch?v=igd9QiZvEMo&amp;pp=ygUUQnVycGVlIHRvIEp1bXAgTHVuZ2U%3D</t>
  </si>
  <si>
    <t>Transition from burpee to jump lunge for dynamic movement.</t>
  </si>
  <si>
    <t>Burpee Without Pushup</t>
  </si>
  <si>
    <t>https://www.youtube.com/watch?v=HfV1UBKzQTo&amp;pp=ygUVQnVycGVlIFdpdGhvdXQgUHVzaHVw</t>
  </si>
  <si>
    <t>Perform burpee without push-up for modified intensity.</t>
  </si>
  <si>
    <t>Burpees</t>
  </si>
  <si>
    <t>https://www.youtube.com/watch?v=auBLPXO8Fww&amp;pp=ygUHQnVycGVlcw%3D%3D</t>
  </si>
  <si>
    <t>Combine squat, push-up, and jump for intense full body workout.</t>
  </si>
  <si>
    <t>Butt Kicks</t>
  </si>
  <si>
    <t>Legs, Cardio</t>
  </si>
  <si>
    <t>https://www.youtube.com/watch?v=JsxQNiaX43g&amp;pp=ygUKQnV0dCBLaWNrcw%3D%3D</t>
  </si>
  <si>
    <t>Jog in place while kicking heels up to engage lower body.</t>
  </si>
  <si>
    <t>Butterfly and Spinal Twist</t>
  </si>
  <si>
    <t>https://www.youtube.com/watch?v=orflHFw3icE&amp;pp=ygUaQnV0dGVyZmx5IGFuZCBTcGluYWwgVHdpc3Q%3D</t>
  </si>
  <si>
    <t>Combine butterfly stretch with spinal twist for flexibility.</t>
  </si>
  <si>
    <t>Butterfly Crunches</t>
  </si>
  <si>
    <t>https://www.youtube.com/watch?v=Y8FaGgeTvoQ&amp;pp=ygUSQnV0dGVyZmx5IENydW5jaGVz</t>
  </si>
  <si>
    <t>Perform crunches in butterfly stretch position for ab engagement.</t>
  </si>
  <si>
    <t>Butterfly Kicks</t>
  </si>
  <si>
    <t>https://www.youtube.com/watch?v=es9UHMkVv5k&amp;pp=ygUPQnV0dGVyZmx5IEtpY2tz</t>
  </si>
  <si>
    <t>Engage core and lower body with flutter kicks in butterfly position.</t>
  </si>
  <si>
    <t>Butterfly Sit Up</t>
  </si>
  <si>
    <t>https://www.youtube.com/watch?v=5VbyA9P2eLc&amp;pp=ygUQQnV0dGVyZmx5IFNpdCBVcA%3D%3D</t>
  </si>
  <si>
    <t>Perform sit-ups with butterfly stretch for flexibility and core work.</t>
  </si>
  <si>
    <t>Butterfly Stretch</t>
  </si>
  <si>
    <t>https://www.youtube.com/watch?v=4J7kbCmPScQ&amp;pp=ygURQnV0dGVyZmx5IFN0cmV0Y2g%3D</t>
  </si>
  <si>
    <t>Stretch inner thighs and hips by bringing feet together and bending knees.</t>
  </si>
  <si>
    <t>Cable Abduction</t>
  </si>
  <si>
    <t>https://www.youtube.com/watch?v=EHq78mQYLbI&amp;pp=ygUPQ2FibGUgQWJkdWN0aW9u</t>
  </si>
  <si>
    <t>Use cable machine to perform leg abductions for outer thigh engagement.</t>
  </si>
  <si>
    <t>Cable Bar Biceps Curl</t>
  </si>
  <si>
    <t>https://www.youtube.com/watch?v=NFzTWp2qpiE&amp;pp=ygUVQ2FibGUgQmFyIEJpY2VwcyBDdXJs</t>
  </si>
  <si>
    <t>Curl bar attached to cable machine to work biceps.</t>
  </si>
  <si>
    <t>Cable Behind the Neck Lat Pulldown</t>
  </si>
  <si>
    <t>https://www.youtube.com/watch?v=5I_ejzeq9m0&amp;pp=ygUiQ2FibGUgQmVoaW5kIHRoZSBOZWNrIExhdCBQdWxsZG93bg%3D%3D</t>
  </si>
  <si>
    <t>Perform lat pulldowns using cable machine behind the neck.</t>
  </si>
  <si>
    <t>Cable Bicep Curls</t>
  </si>
  <si>
    <t>https://www.youtube.com/watch?v=NFzTWp2qpiE&amp;pp=ygURQ2FibGUgQmljZXAgQ3VybHM%3D</t>
  </si>
  <si>
    <t>Curl cables to target biceps using cable machine.</t>
  </si>
  <si>
    <t>Cable Chest Fly</t>
  </si>
  <si>
    <t>https://www.youtube.com/watch?v=mLgYNdxj-Vw&amp;pp=ygUPQ2FibGUgQ2hlc3QgRmx5</t>
  </si>
  <si>
    <t>Engage chest muscles with cable fly motion.</t>
  </si>
  <si>
    <t>Cable Chest Press (Seated)</t>
  </si>
  <si>
    <t>https://www.youtube.com/watch?v=tAILewhtCb0&amp;pp=ygUaQ2FibGUgQ2hlc3QgUHJlc3MgKFNlYXRlZCk%3D</t>
  </si>
  <si>
    <t>Press cables while seated to target chest muscles.</t>
  </si>
  <si>
    <t>Cable Chest Press (Standing)</t>
  </si>
  <si>
    <t>https://www.youtube.com/watch?v=FVWJglwid4I&amp;pp=ygUcQ2FibGUgQ2hlc3QgUHJlc3MgKFN0YW5kaW5nKQ%3D%3D</t>
  </si>
  <si>
    <t>Perform standing cable chest presses for chest engagement.</t>
  </si>
  <si>
    <t>Cable Crossover</t>
  </si>
  <si>
    <t>https://www.youtube.com/watch?v=taI4XduLpTk&amp;pp=ygUPQ2FibGUgQ3Jvc3NvdmVy</t>
  </si>
  <si>
    <t>Perform cable crossovers for chest and upper body engagement.</t>
  </si>
  <si>
    <t>Cable Curls</t>
  </si>
  <si>
    <t>https://www.youtube.com/watch?v=NFzTWp2qpiE&amp;pp=ygULQ2FibGUgQ3VybHM%3D</t>
  </si>
  <si>
    <t>Curl cables using various attachments for biceps.</t>
  </si>
  <si>
    <t>Cable Deadlifts</t>
  </si>
  <si>
    <t>https://www.youtube.com/watch?v=_4U_5JO3oiE&amp;pp=ygUPQ2FibGUgRGVhZGxpZnRz</t>
  </si>
  <si>
    <t>Perform deadlifts using cable machine for leg and back work.</t>
  </si>
  <si>
    <t>Cable Decline Bench Triceps Extension</t>
  </si>
  <si>
    <t>https://www.youtube.com/watch?v=vVM2JlDliDg&amp;pp=ygUlQ2FibGUgRGVjbGluZSBCZW5jaCBUcmljZXBzIEV4dGVuc2lvbg%3D%3D</t>
  </si>
  <si>
    <t>Engage triceps with decline bench triceps extensions using cables.</t>
  </si>
  <si>
    <t>Cable External Rotation at 30 Degrees Abduction</t>
  </si>
  <si>
    <t>https://www.youtube.com/watch?v=jRry9lKQRGo&amp;pp=ygUvQ2FibGUgRXh0ZXJuYWwgUm90YXRpb24gYXQgMzAgRGVncmVlcyBBYmR1Y3Rpb24%3D</t>
  </si>
  <si>
    <t>Engage rotator cuff with cable external rotation at 30 degrees.</t>
  </si>
  <si>
    <t>Cable External Rotation at 90 Degrees Abduction</t>
  </si>
  <si>
    <t>https://www.youtube.com/watch?v=D5QdEQyhmVM&amp;pp=ygUvQ2FibGUgRXh0ZXJuYWwgUm90YXRpb24gYXQgOTAgRGVncmVlcyBBYmR1Y3Rpb24%3D</t>
  </si>
  <si>
    <t>Perform cable external rotation at 90 degrees for shoulder health.</t>
  </si>
  <si>
    <t>Cable External Rotation on Knee</t>
  </si>
  <si>
    <t>https://www.youtube.com/watch?v=JlxndP60w8E&amp;pp=ygUfQ2FibGUgRXh0ZXJuYWwgUm90YXRpb24gb24gS25lZQ%3D%3D</t>
  </si>
  <si>
    <t>Perform external rotation using cables while on knees.</t>
  </si>
  <si>
    <t>Cable Face Pull</t>
  </si>
  <si>
    <t>https://www.youtube.com/watch?v=V8dZ3pyiCBo&amp;pp=ygUPQ2FibGUgRmFjZSBQdWxs</t>
  </si>
  <si>
    <t>Target rear delts and upper back with cable face pulls.</t>
  </si>
  <si>
    <t>Cable Flat Bench Fly</t>
  </si>
  <si>
    <t>https://www.youtube.com/watch?v=D04sUKQi85Y&amp;pp=ygUUQ2FibGUgRmxhdCBCZW5jaCBGbHk%3D</t>
  </si>
  <si>
    <t>Perform cable flyes on flat bench to target chest muscles.</t>
  </si>
  <si>
    <t>Cable Flat Bench Triceps Extension</t>
  </si>
  <si>
    <t>https://www.youtube.com/watch?v=MwfWEn04I8I&amp;pp=ygUiQ2FibGUgRmxhdCBCZW5jaCBUcmljZXBzIEV4dGVuc2lvbg%3D%3D</t>
  </si>
  <si>
    <t>Engage triceps with cable triceps extensions on flat bench.</t>
  </si>
  <si>
    <t>Cable Front Raise</t>
  </si>
  <si>
    <t>https://www.youtube.com/watch?v=fqUgPii8Nm8&amp;pp=ygURQ2FibGUgRnJvbnQgUmFpc2U%3D</t>
  </si>
  <si>
    <t>Lift cables in front to target shoulder muscles.</t>
  </si>
  <si>
    <t>Cable Front Raise (Rope)</t>
  </si>
  <si>
    <t>https://www.youtube.com/watch?v=PmXz2Ik-On4&amp;pp=ygUYQ2FibGUgRnJvbnQgUmFpc2UgKFJvcGUp</t>
  </si>
  <si>
    <t>Use rope attachment to perform front raises for shoulders.</t>
  </si>
  <si>
    <t>Cable Hammer Curl</t>
  </si>
  <si>
    <t>https://www.youtube.com/watch?v=laKjkStPiWE&amp;pp=ygURQ2FibGUgSGFtbWVyIEN1cmw%3D</t>
  </si>
  <si>
    <t>Perform hammer curls using cables for biceps work.</t>
  </si>
  <si>
    <t>Cable Incline Bench Biceps Curl</t>
  </si>
  <si>
    <t>https://www.youtube.com/watch?v=Vzmc5bOmAYs&amp;pp=ygUfQ2FibGUgSW5jbGluZSBCZW5jaCBCaWNlcHMgQ3VybA%3D%3D</t>
  </si>
  <si>
    <t>Curl cables while on incline bench for biceps engagement.</t>
  </si>
  <si>
    <t>Cable Incline Bench Fly</t>
  </si>
  <si>
    <t>https://www.youtube.com/watch?v=GtHNC-5GtR0&amp;pp=ygUXQ2FibGUgSW5jbGluZSBCZW5jaCBGbHk%3D</t>
  </si>
  <si>
    <t>Engage chest muscles with incline bench cable flyes.</t>
  </si>
  <si>
    <t>Cable Incline Bench Press</t>
  </si>
  <si>
    <t>https://www.youtube.com/watch?v=GtHNC-5GtR0&amp;pp=ygUZQ2FibGUgSW5jbGluZSBCZW5jaCBQcmVzcw%3D%3D</t>
  </si>
  <si>
    <t>Perform incline bench presses using cable machine.</t>
  </si>
  <si>
    <t>Cable Incline Bench Triceps Extension</t>
  </si>
  <si>
    <t>https://www.youtube.com/watch?v=DBiWdDx99ms&amp;pp=ygUlQ2FibGUgSW5jbGluZSBCZW5jaCBUcmljZXBzIEV4dGVuc2lvbg%3D%3D</t>
  </si>
  <si>
    <t>Target triceps with incline bench cable triceps extensions.</t>
  </si>
  <si>
    <t>Cable Kickback</t>
  </si>
  <si>
    <t>https://www.youtube.com/watch?v=ifP5sFBT7IE&amp;pp=ygUOQ2FibGUgS2lja2JhY2s%3D</t>
  </si>
  <si>
    <t>Perform kickbacks using cable machine for glute activation.</t>
  </si>
  <si>
    <t>Cable Lat Pull-down</t>
  </si>
  <si>
    <t>https://www.youtube.com/watch?v=CAwf7n6Luuc&amp;pp=ygUTQ2FibGUgTGF0IFB1bGwtZG93bg%3D%3D</t>
  </si>
  <si>
    <t>Engage upper back with cable lat pull-downs.</t>
  </si>
  <si>
    <t>Cable Lateral Kicks</t>
  </si>
  <si>
    <t>https://www.youtube.com/watch?v=JcRnAtNN7vs&amp;pp=ygUTQ2FibGUgTGF0ZXJhbCBLaWNrcw%3D%3D</t>
  </si>
  <si>
    <t>Perform lateral kicks using the cable machine for leg work.</t>
  </si>
  <si>
    <t>Cable Lateral Raise</t>
  </si>
  <si>
    <t>https://www.youtube.com/shorts/EZSAOY7b3g4</t>
  </si>
  <si>
    <t>Lift cables to the side to engage lateral deltoids.</t>
  </si>
  <si>
    <t>Cable Narrow-Grip Lat Pull-Down</t>
  </si>
  <si>
    <t>https://www.youtube.com/watch?v=gZr4wiQTfMM&amp;pp=ygUfQ2FibGUgTmFycm93LUdyaXAgTGF0IFB1bGwtRG93bg%3D%3D</t>
  </si>
  <si>
    <t>Perform lat pull-downs with a narrow grip using the cable machine.</t>
  </si>
  <si>
    <t>Cable One-Arm Lat Pull-Down</t>
  </si>
  <si>
    <t>https://www.youtube.com/watch?v=0BT533ueEdI&amp;pp=ygUbQ2FibGUgT25lLUFybSBMYXQgUHVsbC1Eb3du</t>
  </si>
  <si>
    <t>Engage lats with a one-arm lat pull-down using the cable machine.</t>
  </si>
  <si>
    <t>Cable One-Arm Overhead Triceps Extension</t>
  </si>
  <si>
    <t>https://www.youtube.com/watch?v=FE_AsjcTImc&amp;pp=ygUoQ2FibGUgT25lLUFybSBPdmVyaGVhZCBUcmljZXBzIEV4dGVuc2lvbg%3D%3D</t>
  </si>
  <si>
    <t>Target triceps with a one-arm overhead extension using cables.</t>
  </si>
  <si>
    <t>Cable One-Arm Row (Seated)</t>
  </si>
  <si>
    <t>https://www.youtube.com/watch?v=CrylzZHfO1c&amp;pp=ygUaQ2FibGUgT25lLUFybSBSb3cgKFNlYXRlZCk%3D</t>
  </si>
  <si>
    <t>Perform seated one-arm rows using the cable machine.</t>
  </si>
  <si>
    <t>Cable One-Legged Kickback</t>
  </si>
  <si>
    <t>https://www.youtube.com/watch?v=ifP5sFBT7IE&amp;pp=ygUZQ2FibGUgT25lLUxlZ2dlZCBLaWNrYmFjaw%3D%3D</t>
  </si>
  <si>
    <t>Engage glutes with one-legged kickbacks using the cable machine.</t>
  </si>
  <si>
    <t>Cable Overhead Curl</t>
  </si>
  <si>
    <t>https://www.youtube.com/watch?v=5_n3gVeGEqc&amp;pp=ygUTQ2FibGUgT3ZlcmhlYWQgQ3VybA%3D%3D</t>
  </si>
  <si>
    <t>Curl cables overhead for biceps engagement.</t>
  </si>
  <si>
    <t>Cable Overhead Tricep Extension</t>
  </si>
  <si>
    <t>https://www.youtube.com/watch?v=1u18yJELsh0&amp;pp=ygUfQ2FibGUgT3ZlcmhlYWQgVHJpY2VwIEV4dGVuc2lvbg%3D%3D</t>
  </si>
  <si>
    <t>Perform triceps extensions using cables overhead.</t>
  </si>
  <si>
    <t>https://www.youtube.com/watch?v=GzmlxvSFE7A&amp;pp=ygUgQ2FibGUgT3ZlcmhlYWQgVHJpY2VwcyBFeHRlbnNpb24%3D</t>
  </si>
  <si>
    <t>Engage triceps with overhead triceps extensions using cables.</t>
  </si>
  <si>
    <t>Cable Pull Through</t>
  </si>
  <si>
    <t>https://www.youtube.com/watch?v=4oZ_0_bQcOg&amp;pp=ygUSQ2FibGUgUHVsbCBUaHJvdWdo</t>
  </si>
  <si>
    <t>Engage glutes and hamstrings with a cable pull-through movement.</t>
  </si>
  <si>
    <t>Cable Pull-Down</t>
  </si>
  <si>
    <t>https://www.youtube.com/watch?v=AjCCGN2tU3Q&amp;pp=ygUPQ2FibGUgUHVsbC1Eb3du</t>
  </si>
  <si>
    <t>Perform lat pull-downs using the cable machine.</t>
  </si>
  <si>
    <t>Cable Rear Delt Fly</t>
  </si>
  <si>
    <t>https://www.youtube.com/watch?v=JENKmsEZQO8&amp;pp=ygUTQ2FibGUgUmVhciBEZWx0IEZseQ%3D%3D</t>
  </si>
  <si>
    <t>Target rear deltoids with cable rear delt flyes.</t>
  </si>
  <si>
    <t>Cable Reverse-Grip Lat Pull-Down</t>
  </si>
  <si>
    <t>https://www.youtube.com/watch?v=D-aYXhHBDI8&amp;pp=ygUgQ2FibGUgUmV2ZXJzZS1HcmlwIExhdCBQdWxsLURvd24%3D</t>
  </si>
  <si>
    <t>Perform lat pull-downs with a reverse grip using the cable machine.</t>
  </si>
  <si>
    <t>Cable Reverse-Grip Triceps Push-Down</t>
  </si>
  <si>
    <t>https://www.youtube.com/watch?v=7R88yqmcGrw&amp;pp=ygUkQ2FibGUgUmV2ZXJzZS1HcmlwIFRyaWNlcHMgUHVzaC1Eb3du</t>
  </si>
  <si>
    <t>Engage triceps with a reverse-grip triceps push-down using cables.</t>
  </si>
  <si>
    <t>Cable Rope Biceps Curl</t>
  </si>
  <si>
    <t>https://www.youtube.com/watch?v=Odz1T8WmDBI&amp;pp=ygUWQ2FibGUgUm9wZSBCaWNlcHMgQ3VybA%3D%3D</t>
  </si>
  <si>
    <t>Curl cables using the rope attachment to target biceps.</t>
  </si>
  <si>
    <t>Cable Rope Seated High Row</t>
  </si>
  <si>
    <t>https://www.youtube.com/watch?v=dt7zkcKEAJo&amp;pp=ygUaQ2FibGUgUm9wZSBTZWF0ZWQgSGlnaCBSb3c%3D</t>
  </si>
  <si>
    <t>Perform seated high rows using the rope attachment and cables.</t>
  </si>
  <si>
    <t>Cable Rope Triceps Push-Down</t>
  </si>
  <si>
    <t>https://www.youtube.com/watch?v=yUeuSjH2wqA&amp;pp=ygUcQ2FibGUgUm9wZSBUcmljZXBzIFB1c2gtRG93bg%3D%3D</t>
  </si>
  <si>
    <t>Target triceps with a rope triceps push-down using cables.</t>
  </si>
  <si>
    <t>Cable Row (Seated)</t>
  </si>
  <si>
    <t>https://www.youtube.com/watch?v=vwHG9Jfu4sw&amp;pp=ygUSQ2FibGUgUm93IChTZWF0ZWQp</t>
  </si>
  <si>
    <t>Perform seated rows using the cable machine.</t>
  </si>
  <si>
    <t>Cable Shoulder Press (Seated)</t>
  </si>
  <si>
    <t>https://www.youtube.com/watch?v=fBTGwHChaf4&amp;pp=ygUdQ2FibGUgU2hvdWxkZXIgUHJlc3MgKFNlYXRlZCk%3D</t>
  </si>
  <si>
    <t>Press cables while seated for shoulder engagement.</t>
  </si>
  <si>
    <t>Cable Squats</t>
  </si>
  <si>
    <t>https://www.youtube.com/watch?v=nPrz-nyFKgU&amp;pp=ygUMQ2FibGUgU3F1YXRz</t>
  </si>
  <si>
    <t>Perform squats using the cable machine for added resistance.</t>
  </si>
  <si>
    <t>Cable Standing Shoulder Press (Standing)</t>
  </si>
  <si>
    <t>https://www.youtube.com/watch?v=QFHIkW3vbfI&amp;pp=ygUoQ2FibGUgU3RhbmRpbmcgU2hvdWxkZXIgUHJlc3MgKFN0YW5kaW5nKQ%3D%3D</t>
  </si>
  <si>
    <t>Press cables overhead while standing to target shoulders.</t>
  </si>
  <si>
    <t>Cable Straight-Arm Pull-Down</t>
  </si>
  <si>
    <t>https://www.youtube.com/watch?v=wcVDItawocI&amp;pp=ygUcQ2FibGUgU3RyYWlnaHQtQXJtIFB1bGwtRG93bg%3D%3D</t>
  </si>
  <si>
    <t>Engage lats with straight-arm pull-downs using cables.</t>
  </si>
  <si>
    <t>Cable Straight-Bar Triceps Push-Down</t>
  </si>
  <si>
    <t>https://www.youtube.com/watch?v=Vwf9n6TwF0g&amp;pp=ygUkQ2FibGUgU3RyYWlnaHQtQmFyIFRyaWNlcHMgUHVzaC1Eb3du</t>
  </si>
  <si>
    <t>Target triceps with a straight-bar push-down using cables.</t>
  </si>
  <si>
    <t>Cable Upright Row</t>
  </si>
  <si>
    <t>https://www.youtube.com/watch?v=9Q-j2tPu2Sk&amp;pp=ygURQ2FibGUgVXByaWdodCBSb3c%3D</t>
  </si>
  <si>
    <t>Perform upright rows using the cable machine for shoulders.</t>
  </si>
  <si>
    <t>Cable V-Bar Triceps Push-Down</t>
  </si>
  <si>
    <t>https://www.youtube.com/watch?v=2-LAMcpzODU&amp;pp=ygUdQ2FibGUgVi1CYXIgVHJpY2VwcyBQdXNoLURvd24%3D</t>
  </si>
  <si>
    <t>Engage triceps with a V-bar push-down using cables.</t>
  </si>
  <si>
    <t>Cable Wide-Grip Lat Pull-Down</t>
  </si>
  <si>
    <t>https://www.youtube.com/watch?v=lueEJGjTuPQ&amp;pp=ygUdQ2FibGUgV2lkZS1HcmlwIExhdCBQdWxsLURvd24%3D</t>
  </si>
  <si>
    <t>Perform lat pull-downs with a wide grip using the cable machine.</t>
  </si>
  <si>
    <t>Calf Stretch</t>
  </si>
  <si>
    <t>https://www.youtube.com/watch?v=YfjeXeiREic&amp;pp=ygUMQ2FsZiBTdHJldGNo</t>
  </si>
  <si>
    <t>Stretch and engage calf muscles with calf stretches.</t>
  </si>
  <si>
    <t>Captain's Chair Knee Raise</t>
  </si>
  <si>
    <t>https://www.youtube.com/watch?v=711U6NbJRmc&amp;pp=ygUaQ2FwdGFpbidzIENoYWlyIEtuZWUgUmFpc2U%3D</t>
  </si>
  <si>
    <t>Engage core with knee raises on a captain's chair apparatus.</t>
  </si>
  <si>
    <t>Cat Cows</t>
  </si>
  <si>
    <t>https://www.youtube.com/watch?v=KpNznspZZEY&amp;pp=ygUIQ2F0IENvd3M%3D</t>
  </si>
  <si>
    <t>Perform cat-cow stretches for spine flexibility and mobility.</t>
  </si>
  <si>
    <t>Charlie's Angels Abs</t>
  </si>
  <si>
    <t>https://www.youtube.com/watch?v=VZltbTn_X5U&amp;pp=ygUUQ2hhcmxpZSdzIEFuZ2VscyBBYnM%3D</t>
  </si>
  <si>
    <t>Engage core with "Charlie's Angels" ab exercises.</t>
  </si>
  <si>
    <t>Chest Dips</t>
  </si>
  <si>
    <t>https://www.youtube.com/watch?v=dX_nSOOJIsE&amp;pp=ygUKQ2hlc3QgRGlwcw%3D%3D</t>
  </si>
  <si>
    <t>Perform dips to target chest and triceps muscles.</t>
  </si>
  <si>
    <t>Chest Fly Dead Bugs</t>
  </si>
  <si>
    <t>Core, Chest</t>
  </si>
  <si>
    <t>https://www.youtube.com/shorts/5M_MYQ9nhN8</t>
  </si>
  <si>
    <t>Engage chest with fly motion while performing dead bug movement.</t>
  </si>
  <si>
    <t>Chest Fly Machine</t>
  </si>
  <si>
    <t>https://www.youtube.com/watch?v=u56jywgbvE4&amp;pp=ygURQ2hlc3QgRmx5IE1hY2hpbmU%3D</t>
  </si>
  <si>
    <t>Use the fly machine to engage chest muscles with fly motion.</t>
  </si>
  <si>
    <t>Chest Medicine Ball Throws</t>
  </si>
  <si>
    <t>https://www.youtube.com/shorts/kKki4IPqWso</t>
  </si>
  <si>
    <t>Perform medicine ball throws to engage chest and core.</t>
  </si>
  <si>
    <t>Chest Opener Knee Raise</t>
  </si>
  <si>
    <t>https://www.youtube.com/shorts/UqmbxvOgnX4</t>
  </si>
  <si>
    <t>Engage chest muscles while performing knee raises.</t>
  </si>
  <si>
    <t>Chest Press + Hollow Hold</t>
  </si>
  <si>
    <t>Chest, Core</t>
  </si>
  <si>
    <t>https://www.youtube.com/watch?v=aXkLkMSfwrg&amp;pp=ygUZQ2hlc3QgUHJlc3MgKyBIb2xsb3cgSG9sZA%3D%3D</t>
  </si>
  <si>
    <t>Combine chest presses with a hollow hold for core engagement.</t>
  </si>
  <si>
    <t>Chest Press Machine</t>
  </si>
  <si>
    <t>https://www.youtube.com/watch?v=mlXTzUUR9AE&amp;pp=ygUTQ2hlc3QgUHJlc3MgTWFjaGluZQ%3D%3D</t>
  </si>
  <si>
    <t>Perform chest presses using a machine for chest engagement.</t>
  </si>
  <si>
    <t>Chest Press w/ Dead Bug Legs</t>
  </si>
  <si>
    <t>https://www.youtube.com/watch?v=NrfJODuEXHo&amp;pp=ygUcQ2hlc3QgUHJlc3Mgdy8gRGVhZCBCdWcgTGVncw%3D%3D</t>
  </si>
  <si>
    <t>Engage core while performing chest presses with dead bug leg motion.</t>
  </si>
  <si>
    <t>Chest Supported Dumbbell Row</t>
  </si>
  <si>
    <t>https://www.youtube.com/watch?v=ym-Mp8tCF00&amp;pp=ygUcQ2hlc3QgU3VwcG9ydGVkIER1bWJiZWxsIFJvdw%3D%3D</t>
  </si>
  <si>
    <t>Perform rows with chest support to engage back muscles.</t>
  </si>
  <si>
    <t>Chest Supported Machine Row</t>
  </si>
  <si>
    <t>https://www.youtube.com/watch?v=9WwRJQ003hU&amp;pp=ygUbQ2hlc3QgU3VwcG9ydGVkIE1hY2hpbmUgUm93</t>
  </si>
  <si>
    <t>Engage back muscles with chest-supported machine rows.</t>
  </si>
  <si>
    <t>Chest-Supported Dumbbell Row</t>
  </si>
  <si>
    <t>https://www.youtube.com/watch?v=ym-Mp8tCF00&amp;pp=ygUWQ2hlc3Qtc3VwcG9ydGVkIERCIFJvdw%3D%3D</t>
  </si>
  <si>
    <t>Engage back muscles with chest-supported dumbbell rows.</t>
  </si>
  <si>
    <t>Chin Ups</t>
  </si>
  <si>
    <t>https://www.youtube.com/watch?v=mRy9m2Q9_1I&amp;pp=ygUIQ2hpbiBVcHM%3D</t>
  </si>
  <si>
    <t>Perform chin-ups to engage biceps and back muscles.</t>
  </si>
  <si>
    <t>Chops w/ Ball</t>
  </si>
  <si>
    <t>https://www.youtube.com/watch?v=EygfY8ByyhQ&amp;pp=ygUNQ2hvcHMgdy8gQmFsbA%3D%3D</t>
  </si>
  <si>
    <t>Use a ball for chopping motion to engage core and obliques.</t>
  </si>
  <si>
    <t>Clamshell</t>
  </si>
  <si>
    <t>Hips</t>
  </si>
  <si>
    <t>https://www.youtube.com/watch?v=CiqvDV8pzRk&amp;pp=ygUJQ2xhbXNoZWxs</t>
  </si>
  <si>
    <t>Engage hip muscles with clamshell exercises.</t>
  </si>
  <si>
    <t>https://www.youtube.com/watch?v=vEUyEOVn3yM&amp;pp=ygUbICAgCSBDbG9zZSBHcmlwIEJlbmNoIFByZXNz</t>
  </si>
  <si>
    <t>Perform bench presses with a close grip for triceps engagement.</t>
  </si>
  <si>
    <t>Close Grip Incline Bench Press</t>
  </si>
  <si>
    <t>https://www.youtube.com/watch?v=sVr4fZOVr34&amp;pp=ygUeQ2xvc2UgR3JpcCBJbmNsaW5lIEJlbmNoIFByZXNz</t>
  </si>
  <si>
    <t>Perform incline bench presses with a close grip for triceps.</t>
  </si>
  <si>
    <t>Close Grip Pulldown</t>
  </si>
  <si>
    <t>https://www.youtube.com/watch?v=gZr4wiQTfMM&amp;pp=ygUTQ2xvc2UgR3JpcCBQdWxsZG93bg%3D%3D</t>
  </si>
  <si>
    <t>Engage lats with a close grip pulldown movement.</t>
  </si>
  <si>
    <t>Contralateral Clean to Press</t>
  </si>
  <si>
    <t>https://www.youtube.com/watch?v=egMfgzQbykY&amp;pp=ygUcQ29udHJhbGF0ZXJhbCBDbGVhbiB0byBQcmVzcw%3D%3D</t>
  </si>
  <si>
    <t>Perform a clean to press movement on alternate sides for power.</t>
  </si>
  <si>
    <t>Contralateral Overhead Reverse Lunge</t>
  </si>
  <si>
    <t>https://www.youtube.com/watch?v=qhlGekPq-8s&amp;pp=ygUkQ29udHJhbGF0ZXJhbCBPdmVyaGVhZCBSZXZlcnNlIEx1bmdl</t>
  </si>
  <si>
    <t>Perform reverse lunge with overhead reach on opposite side.</t>
  </si>
  <si>
    <t>Contralateral Single Leg Deadlift</t>
  </si>
  <si>
    <t>https://www.youtube.com/watch?v=rQiTDw_NeR0&amp;pp=ygUhQ29udHJhbGF0ZXJhbCBTaW5nbGUgTGVnIERlYWRsaWZ0</t>
  </si>
  <si>
    <t>Engage hamstrings and glutes with single-leg deadlift on opposite side.</t>
  </si>
  <si>
    <t>Contralateral Snatch</t>
  </si>
  <si>
    <t>https://www.youtube.com/watch?v=hpmrK0pUVGw&amp;pp=ygUUQ29udHJhbGF0ZXJhbCBTbmF0Y2g%3D</t>
  </si>
  <si>
    <t>Perform snatch movement on opposite side for power and coordination.</t>
  </si>
  <si>
    <t>Cossack Squat</t>
  </si>
  <si>
    <t>https://www.youtube.com/watch?v=dhDjKmTX8tU&amp;pp=ygUNQ29zc2FjayBTcXVhdA%3D%3D</t>
  </si>
  <si>
    <t>Engage inner thighs with side-to-side cossack squats.</t>
  </si>
  <si>
    <t>Couch Stretch</t>
  </si>
  <si>
    <t>https://www.youtube.com/watch?v=fHKndvWwenc&amp;pp=ygUNQ291Y2ggU3RyZXRjaA%3D%3D</t>
  </si>
  <si>
    <t>Stretch hip flexors and quads using the couch stretch.</t>
  </si>
  <si>
    <t>Criss Cross Jumping Jacks</t>
  </si>
  <si>
    <t>Cardio</t>
  </si>
  <si>
    <t>https://www.youtube.com/watch?v=lF1vpdVQsUU&amp;pp=ygUZQ3Jpc3MgQ3Jvc3MgSnVtcGluZyBKYWNrcw%3D%3D</t>
  </si>
  <si>
    <t>Combine jumping jacks with criss-cross feet motion.</t>
  </si>
  <si>
    <t>Cross Body Cable Tricep Extension</t>
  </si>
  <si>
    <t>https://www.youtube.com/watch?v=TctfJadtxq0&amp;pp=ygUhQ3Jvc3MgQm9keSBDYWJsZSBUcmljZXAgRXh0ZW5zaW9u</t>
  </si>
  <si>
    <t>Engage triceps with cable extension across body.</t>
  </si>
  <si>
    <t>Cross Body Sit-Ups</t>
  </si>
  <si>
    <t>https://www.youtube.com/watch?v=_eK01SNwob0&amp;pp=ygUSQ3Jvc3MgQm9keSBTaXQtVXBz</t>
  </si>
  <si>
    <t>Engage obliques with sit-ups incorporating cross-body motion.</t>
  </si>
  <si>
    <t>Cross Jump Touch Down</t>
  </si>
  <si>
    <t>https://www.youtube.com/watch?v=xCazgyElCpg&amp;pp=ygUVQ3Jvc3MgSnVtcCBUb3VjaCBEb3du</t>
  </si>
  <si>
    <t>Perform jumps with cross-jump touch down for cardio and agility.</t>
  </si>
  <si>
    <t>Cross-Body Lat Mobilization</t>
  </si>
  <si>
    <t>https://www.youtube.com/watch?v=ToSAFXPU6Z4&amp;pp=ygUbQ3Jvc3MtQm9keSBMYXQgTW9iaWxpemF0aW9u</t>
  </si>
  <si>
    <t>Mobilize lats with cross-body lat stretches.</t>
  </si>
  <si>
    <t>Crossbody Knee Drive</t>
  </si>
  <si>
    <t>https://www.youtube.com/shorts/CfjLu7GB938</t>
  </si>
  <si>
    <t>Engage core and hip flexors with crossbody knee drives.</t>
  </si>
  <si>
    <t>Crossbody Mountain Climbers</t>
  </si>
  <si>
    <t>Core, Cardio</t>
  </si>
  <si>
    <t>Perform mountain climbers with cross-body knee motion.</t>
  </si>
  <si>
    <t>Curl to Press to Tricep Extension</t>
  </si>
  <si>
    <t>https://www.youtube.com/shorts/G4x6LCrQE_E</t>
  </si>
  <si>
    <t>Combine curl, press, and tricep extension for full-arm engagement.</t>
  </si>
  <si>
    <t>Curtsey Lunge</t>
  </si>
  <si>
    <t>https://www.youtube.com/watch?v=Ix_SFZVDy0I&amp;pp=ygUNQ3VydHNleSBMdW5nZQ%3D%3D</t>
  </si>
  <si>
    <t>Perform curtsey lunges to engage glutes and legs.</t>
  </si>
  <si>
    <t>Curtsey Lunge with Pause</t>
  </si>
  <si>
    <t>https://www.youtube.com/watch?v=cVYnf2CFO9M&amp;pp=ygUYQ3VydHNleSBMdW5nZSB3aXRoIFBhdXNl</t>
  </si>
  <si>
    <t>Engage glutes with curtsey lunges incorporating a pause.</t>
  </si>
  <si>
    <t>Curtsy Lunge</t>
  </si>
  <si>
    <t>Engage leg muscles with curtsy lunges.</t>
  </si>
  <si>
    <t>https://www.youtube.com/watch?v=SzcSrpVr0GA&amp;pp=ygUOZGIgYmVuY2ggcHJlc3M%3D</t>
  </si>
  <si>
    <t>Setup on a flat bench, go slow and controlled</t>
  </si>
  <si>
    <t>DB Bulgarian Split Squat</t>
  </si>
  <si>
    <t>https://www.youtube.com/watch?v=vLuhN_glFZ8&amp;pp=ygUYREIgQnVsZ2FyaWFuIFNwbGl0IFNxdWF0</t>
  </si>
  <si>
    <t>Perform split squats using dumbbells for leg engagement.</t>
  </si>
  <si>
    <t>DB Calf Raise</t>
  </si>
  <si>
    <t>https://www.youtube.com/watch?v=Xfe4ZqiKvnY&amp;pp=ygUNREIgQ2FsZiBSYWlzZQ%3D%3D</t>
  </si>
  <si>
    <t>Engage calves with dumbbell calf raises.</t>
  </si>
  <si>
    <t>DB Chest Press</t>
  </si>
  <si>
    <t>https://www.youtube.com/watch?v=VmB1G1K7v94&amp;pp=ygUOREIgQ2hlc3QgUHJlc3M%3D</t>
  </si>
  <si>
    <t>Perform dumbbell chest presses for chest engagement.</t>
  </si>
  <si>
    <t>DB Cossack Squat</t>
  </si>
  <si>
    <t>https://www.youtube.com/watch?v=twXorSeA0BM&amp;pp=ygUQREIgQ29zc2FjayBTcXVhdA%3D%3D</t>
  </si>
  <si>
    <t>Engage legs and glutes with dumbbell cossack squats.</t>
  </si>
  <si>
    <t>DB Deficit Split Squat</t>
  </si>
  <si>
    <t>https://www.youtube.com/shorts/IfvwciB5Rwc</t>
  </si>
  <si>
    <t>Perform split squats with a deficit using dumbbells.</t>
  </si>
  <si>
    <t>DB Farmer Walk</t>
  </si>
  <si>
    <t>https://www.youtube.com/watch?v=VBobkldqqvk&amp;pp=ygUOREIgRmFybWVyIFdhbGs%3D</t>
  </si>
  <si>
    <t>Engage grip and core while walking with dumbbells.</t>
  </si>
  <si>
    <t>https://www.youtube.com/watch?v=eozdVDA78K0&amp;pp=ygURREIgRmxhdCBDaGVzdCBGbHk%3D</t>
  </si>
  <si>
    <t>Engage chest muscles with dumbbell fly motion.</t>
  </si>
  <si>
    <t>DB Flat Chest Press</t>
  </si>
  <si>
    <t>https://www.youtube.com/watch?v=QsYre__-aro&amp;pp=ygUTREIgRmxhdCBDaGVzdCBQcmVzcw%3D%3D</t>
  </si>
  <si>
    <t>DB Forward Lunges</t>
  </si>
  <si>
    <t>https://www.youtube.com/watch?v=t7DBjlOTwAk&amp;pp=ygURREIgRm9yd2FyZCBMdW5nZXM%3D</t>
  </si>
  <si>
    <t>Engage legs and glutes with forward lunges using dumbbells.</t>
  </si>
  <si>
    <t>DB Frog Pump</t>
  </si>
  <si>
    <t>https://www.youtube.com/watch?v=MQ62r2V7Lw8&amp;pp=ygUMREIgRnJvZyBQdW1w</t>
  </si>
  <si>
    <t>Engage glutes and legs with frog pump using dumbbells.</t>
  </si>
  <si>
    <t>DB Front Foot Elevated Squat</t>
  </si>
  <si>
    <t>https://www.youtube.com/watch?v=OFmW8Re5Zos&amp;pp=ygUcREIgRnJvbnQgRm9vdCBFbGV2YXRlZCBTcXVhdA%3D%3D</t>
  </si>
  <si>
    <t>Perform squats with the front foot elevated using dumbbells.</t>
  </si>
  <si>
    <t>DB Glute Bridge</t>
  </si>
  <si>
    <t>https://www.youtube.com/watch?v=FSiUH5jn3Cs&amp;pp=ygUPREIgR2x1dGUgQnJpZGdl</t>
  </si>
  <si>
    <t>Engage glutes with dumbbell glute bridges.</t>
  </si>
  <si>
    <t>DB Goblet Squat</t>
  </si>
  <si>
    <t>https://www.youtube.com/watch?v=Xjo_fY9Hl9w&amp;pp=ygUPREIgR29ibGV0IFNxdWF0</t>
  </si>
  <si>
    <t>Engage legs and glutes with dumbbell goblet squats.</t>
  </si>
  <si>
    <t>DB Incline Bench Reverse Fly</t>
  </si>
  <si>
    <t>https://www.youtube.com/watch?v=WCvRMULhUVU&amp;pp=ygUcREIgSW5jbGluZSBCZW5jaCBSZXZlcnNlIEZseQ%3D%3D</t>
  </si>
  <si>
    <t>Engage rear deltoids with incline bench reverse flyes using dumbbells.</t>
  </si>
  <si>
    <t>DB Incline Bench Row</t>
  </si>
  <si>
    <t>https://www.youtube.com/watch?v=x6nEPnQ37FQ&amp;pp=ygUUREIgSW5jbGluZSBCZW5jaCBSb3c%3D</t>
  </si>
  <si>
    <t>Engage back muscles with incline bench rows using dumbbells.</t>
  </si>
  <si>
    <t>DB Incline Bicep Curls</t>
  </si>
  <si>
    <t>https://www.youtube.com/watch?v=soxrZlIl35U&amp;pp=ygUWREIgSW5jbGluZSBCaWNlcCBDdXJscw%3D%3D</t>
  </si>
  <si>
    <t>Curl dumbbells while on incline bench to target biceps.</t>
  </si>
  <si>
    <t>https://www.youtube.com/watch?v=8iPEnn-ltC8&amp;pp=ygUWREIgSW5jbGluZSBDaGVzdCBQcmVzcw%3D%3D</t>
  </si>
  <si>
    <t>Perform incline chest presses using dumbbells for chest engagement.</t>
  </si>
  <si>
    <t>DB Incline Hammer Curls</t>
  </si>
  <si>
    <t>https://www.youtube.com/watch?v=cbRSu8Ws_hs&amp;pp=ygUXREIgSW5jbGluZSBIYW1tZXIgQ3VybHM%3D</t>
  </si>
  <si>
    <t>Engage biceps with incline hammer curls using dumbbells.</t>
  </si>
  <si>
    <t>DB Incline Skull Crushers</t>
  </si>
  <si>
    <t>https://www.youtube.com/watch?v=osHzkwG-9JE&amp;pp=ygUZREIgSW5jbGluZSBTa3VsbCBDcnVzaGVycw%3D%3D</t>
  </si>
  <si>
    <t>Target triceps with incline skull crushers using dumbbells.</t>
  </si>
  <si>
    <t>DB Lateral Raise</t>
  </si>
  <si>
    <t>https://www.youtube.com/watch?v=XPPfnSEATJA&amp;pp=ygUQREIgTGF0ZXJhbCBSYWlzZQ%3D%3D</t>
  </si>
  <si>
    <t>Lift dumbbells to the side to engage lateral deltoids.</t>
  </si>
  <si>
    <t>DB Leg Raises</t>
  </si>
  <si>
    <t>https://www.youtube.com/watch?v=PcDvVDIxvto&amp;pp=ygUNREIgTGVnIFJhaXNlcw%3D%3D</t>
  </si>
  <si>
    <t>Engage core with leg raises while holding dumbbells.</t>
  </si>
  <si>
    <t>DB Pullovers</t>
  </si>
  <si>
    <t>Back, Chest</t>
  </si>
  <si>
    <t>https://www.youtube.com/watch?v=FK4rHfWKEac&amp;pp=ygUMREIgUHVsbG92ZXJz</t>
  </si>
  <si>
    <t>Perform dumbbell pullovers for back and chest engagement.</t>
  </si>
  <si>
    <t>DB RDL</t>
  </si>
  <si>
    <t>https://www.youtube.com/watch?v=hQgFixeXdZo&amp;pp=ygUGREIgUkRM</t>
  </si>
  <si>
    <t>Engage hamstrings and glutes with dumbbell Romanian deadlifts.</t>
  </si>
  <si>
    <t>DB Reverse Flys</t>
  </si>
  <si>
    <t>https://www.youtube.com/watch?v=JoCRRZ3zRtI&amp;pp=ygUPREIgUmV2ZXJzZSBGbHlz</t>
  </si>
  <si>
    <t>Target rear deltoids with dumbbell reverse flyes.</t>
  </si>
  <si>
    <t>DB Reverse Lunges</t>
  </si>
  <si>
    <t>https://www.youtube.com/watch?v=NfMIqYNNLl8&amp;pp=ygURREIgUmV2ZXJzZSBMdW5nZXM%3D</t>
  </si>
  <si>
    <t>Engage legs and glutes with reverse lunges using dumbbells.</t>
  </si>
  <si>
    <t>DB Romanian Deadlift</t>
  </si>
  <si>
    <t>https://www.youtube.com/watch?v=hQgFixeXdZo&amp;pp=ygUUREIgUm9tYW5pYW4gRGVhZGxpZnQ%3D</t>
  </si>
  <si>
    <t>DB Shrug</t>
  </si>
  <si>
    <t>https://www.youtube.com/watch?v=cJRVVxmytaM&amp;pp=ygUIREIgU2hydWc%3D</t>
  </si>
  <si>
    <t>Perform shrugs using dumbbells to target trapezius muscles.</t>
  </si>
  <si>
    <t>DB Side Bends</t>
  </si>
  <si>
    <t>https://www.youtube.com/watch?v=ARAWlmlgPbg&amp;pp=ygUNREIgU2lkZSBCZW5kcw%3D%3D</t>
  </si>
  <si>
    <t>Engage obliques with dumbbell side bends.</t>
  </si>
  <si>
    <t>DB Snatch to Press</t>
  </si>
  <si>
    <t>https://www.youtube.com/watch?v=HHsOcHb_IFI&amp;pp=ygUSREIgU25hdGNoIHRvIFByZXNz</t>
  </si>
  <si>
    <t>Combine snatch and press movements with dumbbells.</t>
  </si>
  <si>
    <t>DB Split Squat</t>
  </si>
  <si>
    <t>https://www.youtube.com/watch?v=MEG6blZtUpc&amp;pp=ygUOREIgU3BsaXQgU3F1YXQ%3D</t>
  </si>
  <si>
    <t>DB Squats</t>
  </si>
  <si>
    <t>https://www.youtube.com/watch?v=v_c67Omje48&amp;pp=ygUJREIgU3F1YXRz</t>
  </si>
  <si>
    <t>Engage legs and glutes with dumbbell squats.</t>
  </si>
  <si>
    <t>DB Step-up</t>
  </si>
  <si>
    <t>https://www.youtube.com/watch?v=37tVohr7LcE&amp;pp=ygUKREIgU3RlcC11cA%3D%3D</t>
  </si>
  <si>
    <t>Perform step-ups using dumbbells for leg engagement.</t>
  </si>
  <si>
    <t>DB Walking Lunges</t>
  </si>
  <si>
    <t>https://www.youtube.com/watch?v=I34ysEkPK7w</t>
  </si>
  <si>
    <t>Engage legs and glutes with walking lunges using dumbbells.</t>
  </si>
  <si>
    <t>Dead Bug</t>
  </si>
  <si>
    <t>https://www.youtube.com/watch?v=4XLEnwUr1d8&amp;pp=ygUIRGVhZCBCdWc%3D</t>
  </si>
  <si>
    <t>Engage core muscles with the dead bug exercise.</t>
  </si>
  <si>
    <t>Deadlift</t>
  </si>
  <si>
    <t>https://www.youtube.com/watch?v=uBOHgf_xIXU&amp;pp=ygUIRGVhZGxpZnQ%3D</t>
  </si>
  <si>
    <t>Perform deadlifts to engage back, glutes, and hamstrings.</t>
  </si>
  <si>
    <t>Deadlift to Clean to Squat</t>
  </si>
  <si>
    <t>https://www.youtube.com/watch?v=W3u6KQG_S-I&amp;pp=ygUaRGVhZGxpZnQgdG8gQ2xlYW4gdG8gU3F1YXQ%3D</t>
  </si>
  <si>
    <t>Combine deadlift, clean, and squat movements for full-body power.</t>
  </si>
  <si>
    <t>Deadmill Sprint</t>
  </si>
  <si>
    <t>https://www.youtube.com/watch?v=HvHJM-kNiA0&amp;pp=ygUPRGVhZG1pbGwgU3ByaW50</t>
  </si>
  <si>
    <t>Perform sprints on a non-motorized treadmill for cardio and power.</t>
  </si>
  <si>
    <t>Decline Push Up</t>
  </si>
  <si>
    <t>https://www.youtube.com/watch?v=SKPab2YC8BE&amp;pp=ygUPRGVjbGluZSBQdXNoIFVw</t>
  </si>
  <si>
    <t>Engage chest and triceps with decline push-ups.</t>
  </si>
  <si>
    <t>Deep Neck Flexor Activation and Suboccipital Stretch</t>
  </si>
  <si>
    <t>Neck</t>
  </si>
  <si>
    <t>https://www.youtube.com/watch?v=CpwvQT8axGk&amp;pp=ygU0RGVlcCBOZWNrIEZsZXhvciBBY3RpdmF0aW9uIGFuZCBTdWJvY2NpcGl0YWwgU3RyZXRjaA%3D%3D</t>
  </si>
  <si>
    <t>Activate deep neck muscles and stretch suboccipital region.</t>
  </si>
  <si>
    <t>Deep Squat to Hamstring Stretch</t>
  </si>
  <si>
    <t>https://www.youtube.com/watch?v=1oQSsXhbhjk&amp;pp=ygUfRGVlcCBTcXVhdCB0byBIYW1zdHJpbmcgU3RyZXRjaA%3D%3D</t>
  </si>
  <si>
    <t>Engage legs and stretch hamstrings with deep squat motion.</t>
  </si>
  <si>
    <t>Deep Squat Wall Stretch</t>
  </si>
  <si>
    <t>https://www.youtube.com/watch?v=zkj-1XvAcKM&amp;pp=ygUXRGVlcCBTcXVhdCBXYWxsIFN0cmV0Y2g%3D</t>
  </si>
  <si>
    <t>Stretch hips, groin, and ankles with deep squat against a wall.</t>
  </si>
  <si>
    <t>Deep Squat with Reach</t>
  </si>
  <si>
    <t>https://www.youtube.com/watch?v=H-T1kqSpecM&amp;pp=ygUVRGVlcCBTcXVhdCB3aXRoIFJlYWNo</t>
  </si>
  <si>
    <t>Engage hips and stretch upper body with deep squat and reach.</t>
  </si>
  <si>
    <t>Deficit Reverse Lunge</t>
  </si>
  <si>
    <t>https://www.youtube.com/watch?v=W0wZ-yk6WR4&amp;pp=ygUVRGVmaWNpdCBSZXZlcnNlIEx1bmdl</t>
  </si>
  <si>
    <t>Perform reverse lunges with a deficit for added challenge.</t>
  </si>
  <si>
    <t>Depth Drop</t>
  </si>
  <si>
    <t>https://www.youtube.com/watch?v=drLJzzzhepE&amp;pp=ygUKRGVwdGggRHJvcA%3D%3D</t>
  </si>
  <si>
    <t>Drop from an elevated surface to improve landing mechanics.</t>
  </si>
  <si>
    <t>Depth Drop To Vertical Jump</t>
  </si>
  <si>
    <t>https://www.youtube.com/watch?v=q4ogzEdb3sI&amp;pp=ygUbRGVwdGggRHJvcCBUbyBWZXJ0aWNhbCBKdW1w</t>
  </si>
  <si>
    <t>Combine depth drop with vertical jump for plyometric power.</t>
  </si>
  <si>
    <t>Diamond Push-up</t>
  </si>
  <si>
    <t>https://www.youtube.com/watch?v=J0DnG1_S92I&amp;pp=ygUPRGlhbW9uZCBQdXNoLXVw</t>
  </si>
  <si>
    <t>Engage triceps and chest with diamond hand position push-ups.</t>
  </si>
  <si>
    <t>https://www.youtube.com/watch?v=2z8JmcrW-As&amp;pp=ygUERGlwcw%3D%3D</t>
  </si>
  <si>
    <t>Perform dips to target chest, shoulders, and triceps.</t>
  </si>
  <si>
    <t>Dolphin Push Ups</t>
  </si>
  <si>
    <t>Shoulders, Core</t>
  </si>
  <si>
    <t>https://www.youtube.com/watch?v=V5JLXeNGvhg&amp;pp=ygUQRG9scGhpbiBQdXNoIFVwcw%3D%3D</t>
  </si>
  <si>
    <t>Perform push-ups while transitioning into a dolphin pose.</t>
  </si>
  <si>
    <t>Double Bounce High Knees</t>
  </si>
  <si>
    <t>https://www.youtube.com/watch?v=2XYP2gbYN3A&amp;pp=ygUYRG91YmxlIEJvdW5jZSBIaWdoIEtuZWVz</t>
  </si>
  <si>
    <t>Engage legs with double bounce motion in high knee exercise.</t>
  </si>
  <si>
    <t>Double Dumbbell Swings</t>
  </si>
  <si>
    <t>https://www.youtube.com/watch?v=99GbmjyajY8&amp;pp=ygUWRG91YmxlIER1bWJiZWxsIFN3aW5ncw%3D%3D</t>
  </si>
  <si>
    <t>Perform swings using two dumbbells for hip and core engagement.</t>
  </si>
  <si>
    <t>Double Under</t>
  </si>
  <si>
    <t>https://www.youtube.com/watch?v=82jNjDS19lg&amp;pp=ygUMRG91YmxlIFVuZGVy</t>
  </si>
  <si>
    <t>Perform double jumps with a jump rope for cardiovascular workout.</t>
  </si>
  <si>
    <t>Downward Dog to World's Greatest Stretch</t>
  </si>
  <si>
    <t>https://www.youtube.com/watch?v=1qQ_ZqdIMzA&amp;pp=ygUoRG93bndhcmQgRG9nIHRvIFdvcmxkJ3MgR3JlYXRlc3QgU3RyZXRjaA%3D%3D</t>
  </si>
  <si>
    <t>Flow from downward dog to the world's greatest stretch for mobility.</t>
  </si>
  <si>
    <t>Drag Curls</t>
  </si>
  <si>
    <t>https://www.youtube.com/watch?v=BjBmtkfy1-0&amp;pp=ygUKRHJhZyBDdXJscw%3D%3D</t>
  </si>
  <si>
    <t>Perform curls while dragging dumbbells along the body.</t>
  </si>
  <si>
    <t>Drop Squats</t>
  </si>
  <si>
    <t>https://www.youtube.com/watch?v=voJ1KrwEIcc&amp;pp=ygULRHJvcCBTcXVhdHM%3D</t>
  </si>
  <si>
    <t>Engage legs and perform drop squats for explosive power.</t>
  </si>
  <si>
    <t>Duck Walk Forward and Back</t>
  </si>
  <si>
    <t>https://www.youtube.com/watch?v=b_T7odhetFk&amp;pp=ygUaRHVjayBXYWxrIEZvcndhcmQgYW5kIEJhY2s%3D</t>
  </si>
  <si>
    <t>Perform duck walks to engage legs and glutes in forward and backward motion.</t>
  </si>
  <si>
    <t>Dumbbell 1 1/4 Full Squat</t>
  </si>
  <si>
    <t>https://www.youtube.com/watch?v=dbMvGAbdKkI&amp;pp=ygUZRHVtYmJlbGwgMSAxLzQgRnVsbCBTcXVhdA%3D%3D</t>
  </si>
  <si>
    <t>Perform squats with 1 1/4 range of motion using dumbbells.</t>
  </si>
  <si>
    <t>Dumbbell Ab Twist</t>
  </si>
  <si>
    <t>https://www.youtube.com/watch?v=q1MeZPov8eM&amp;pp=ygURRHVtYmJlbGwgQWIgVHdpc3Q%3D</t>
  </si>
  <si>
    <t>Engage obliques with a twisting motion using dumbbells.</t>
  </si>
  <si>
    <t>Dumbbell Alternate Biceps Curl</t>
  </si>
  <si>
    <t>https://www.youtube.com/watch?v=sAq_ocpRh_I&amp;pp=ygUeRHVtYmJlbGwgQWx0ZXJuYXRlIEJpY2VwcyBDdXJs</t>
  </si>
  <si>
    <t>Curl dumbbells alternately to target biceps.</t>
  </si>
  <si>
    <t>Dumbbell Arnold Press</t>
  </si>
  <si>
    <t>https://www.youtube.com/watch?v=3ml7BH7mNwQ&amp;pp=ygUVRHVtYmJlbGwgQXJub2xkIFByZXNz</t>
  </si>
  <si>
    <t>Press dumbbells overhead with a rotating motion.</t>
  </si>
  <si>
    <t>Eccentric Chin Up</t>
  </si>
  <si>
    <t>https://www.youtube.com/watch?v=dJXAuZ5oIVQ&amp;pp=ygURRWNjZW50cmljIENoaW4gVXA%3D</t>
  </si>
  <si>
    <t>Perform chin-ups focusing on the lowering (eccentric) phase.</t>
  </si>
  <si>
    <t>Eccentric Pull-Up</t>
  </si>
  <si>
    <t>https://www.youtube.com/watch?v=hvhQXzJ4vhM&amp;pp=ygURRWNjZW50cmljIFB1bGwtVXA%3D</t>
  </si>
  <si>
    <t>Engage back muscles with eccentric pull-up motion.</t>
  </si>
  <si>
    <t>Eccentric Push-Up</t>
  </si>
  <si>
    <t>https://www.youtube.com/watch?v=cK-OUgfhgak&amp;pp=ygURRWNjZW50cmljIFB1c2gtVXA%3D</t>
  </si>
  <si>
    <t>Focus on the lowering phase of push-ups for eccentric training.</t>
  </si>
  <si>
    <t>Elbow Plank Bodysaw</t>
  </si>
  <si>
    <t>https://www.youtube.com/watch?v=zD0pIEs0AYo&amp;pp=ygUTRWxib3cgUGxhbmsgQm9keXNhdw%3D%3D</t>
  </si>
  <si>
    <t>Perform plank motion with elbow sawing to engage core.</t>
  </si>
  <si>
    <t>Elbow Plank Jacks</t>
  </si>
  <si>
    <t>https://www.youtube.com/watch?v=eP1T4JeQtOQ&amp;pp=ygURRWxib3cgUGxhbmsgSmFja3M%3D</t>
  </si>
  <si>
    <t>Combine elbow plank with jumping jack motion.</t>
  </si>
  <si>
    <t>Elevated Plank Row</t>
  </si>
  <si>
    <t>https://www.youtube.com/watch?v=QJCbrhH5Exo&amp;pp=ygUSRWxldmF0ZWQgUGxhbmsgUm93</t>
  </si>
  <si>
    <t>Engage core and back with elevated plank rows.</t>
  </si>
  <si>
    <t>Elevated RDL's</t>
  </si>
  <si>
    <t>https://www.youtube.com/watch?v=3Ch7uK-0j9c&amp;pp=ygUORWxldmF0ZWQgUkRMJ3M%3D</t>
  </si>
  <si>
    <t>Engage hamstrings and glutes with elevated Romanian deadlifts.</t>
  </si>
  <si>
    <t>Elevated Toes Stiff Leg Deadlift</t>
  </si>
  <si>
    <t>Perform stiff-legged deadlifts with elevated toes for hamstring engagement.</t>
  </si>
  <si>
    <t>End Range Cable Lateral Raise</t>
  </si>
  <si>
    <t>https://www.youtube.com/watch?v=PPrzBWZDOhA&amp;pp=ygUdRW5kIFJhbmdlIENhYmxlIExhdGVyYWwgUmFpc2U%3D</t>
  </si>
  <si>
    <t>Target lateral deltoids with cable lateral raises at end range.</t>
  </si>
  <si>
    <t>Explosive Pushup</t>
  </si>
  <si>
    <t>https://www.youtube.com/watch?v=CvgV8W98inA&amp;pp=ygUQRXhwbG9zaXZlIFB1c2h1cA%3D%3D</t>
  </si>
  <si>
    <t>Perform push-ups with an explosive push-off motion.</t>
  </si>
  <si>
    <t>External Hip Rotation to Lateral Lunge</t>
  </si>
  <si>
    <t>https://www.youtube.com/watch?v=-AruuHWQZZQ&amp;pp=ygUmRXh0ZXJuYWwgSGlwIFJvdGF0aW9uIHRvIExhdGVyYWwgTHVuZ2U%3D</t>
  </si>
  <si>
    <t>Perform hip rotations transitioning into a lateral lunge.</t>
  </si>
  <si>
    <t>EZ Bar Bicep Curls</t>
  </si>
  <si>
    <t>https://www.youtube.com/watch?v=kwG2ipFRgfo&amp;pp=ygUSRVogQmFyIEJpY2VwIEN1cmxz</t>
  </si>
  <si>
    <t>Curl an EZ bar to engage biceps.</t>
  </si>
  <si>
    <t>Face Pulls</t>
  </si>
  <si>
    <t>https://www.youtube.com/watch?v=V8dZ3pyiCBo&amp;pp=ygUKRmFjZSBQdWxscw%3D%3D</t>
  </si>
  <si>
    <t>Target rear deltoids and upper back with face pulls.</t>
  </si>
  <si>
    <t>Farmers Carry</t>
  </si>
  <si>
    <t>https://www.youtube.com/watch?v=z7E_YU9P1jU&amp;pp=ygUOIEZhcm1lcnMgQ2Fycnk%3D</t>
  </si>
  <si>
    <t>Engage grip and core while carrying heavy weights.</t>
  </si>
  <si>
    <t>Feet Elevated Sit Up</t>
  </si>
  <si>
    <t>https://www.youtube.com/watch?v=5vQAMgBJIVk&amp;pp=ygUURmVldCBFbGV2YXRlZCBTaXQgVXA%3D</t>
  </si>
  <si>
    <t>Engage core with elevated sit-ups.</t>
  </si>
  <si>
    <t>Feet-Elevated Band-Resisted Pushup</t>
  </si>
  <si>
    <t>https://www.youtube.com/watch?v=joAjlFPXfkM&amp;pp=ygUiRmVldC1FbGV2YXRlZCBCYW5kLVJlc2lzdGVkIFB1c2h1cA%3D%3D</t>
  </si>
  <si>
    <t>Perform push-ups with elevated feet and resistance bands.</t>
  </si>
  <si>
    <t>Feet-Elevated Pushup</t>
  </si>
  <si>
    <t>https://www.youtube.com/watch?v=yvBlNJCvTOI&amp;pp=ygUURmVldC1FbGV2YXRlZCBQdXNodXA%3D</t>
  </si>
  <si>
    <t>Engage chest and triceps with elevated push-ups.</t>
  </si>
  <si>
    <t>FHL Calf Raise</t>
  </si>
  <si>
    <t>https://www.youtube.com/watch?v=PX-8ExAl13k&amp;pp=ygUORkhMIENhbGYgUmFpc2U%3D</t>
  </si>
  <si>
    <t>Engage calves with flexor hallucis longus calf raises.</t>
  </si>
  <si>
    <t>Figure 4 Cross Body Bike Crunch</t>
  </si>
  <si>
    <t>https://www.youtube.com/watch?v=yzg6OTbsmcQ&amp;pp=ygUeRmlndXJlIDQgQ3Jvc3MgQm9keSBCaWtlIENydW5j</t>
  </si>
  <si>
    <t>Engage obliques with figure 4 crunch using a bicycle motion.</t>
  </si>
  <si>
    <t>Figure 4 Crunch</t>
  </si>
  <si>
    <t>https://www.youtube.com/watch?v=yzg6OTbsmcQ&amp;pp=ygUPRmlndXJlIDQgQ3J1bmNo</t>
  </si>
  <si>
    <t>Engage obliques with figure 4 crunch movement.</t>
  </si>
  <si>
    <t>Figure 4 Hip Ups</t>
  </si>
  <si>
    <t>https://www.youtube.com/watch?v=Xb5gHdYtHnk&amp;pp=ygUQRmlndXJlIDQgSGlwIFVwcw%3D%3D</t>
  </si>
  <si>
    <t>Engage hip muscles with figure 4 hip ups.</t>
  </si>
  <si>
    <t>Figure 4 Stretch</t>
  </si>
  <si>
    <t>Stretch hip and glutes with figure 4 stretch.</t>
  </si>
  <si>
    <t>Fire Hydrant Leg Extension</t>
  </si>
  <si>
    <t>https://www.youtube.com/watch?v=5ZITPjWrUzQ&amp;pp=ygUaRmlyZSBIeWRyYW50IExlZyBFeHRlbnNpb24%3D</t>
  </si>
  <si>
    <t>Engage hip muscles with fire hydrant leg extension.</t>
  </si>
  <si>
    <t>Fire Hydrants</t>
  </si>
  <si>
    <t>https://www.youtube.com/watch?v=hjMEwbXhya4&amp;pp=ygUNRmlyZSBIeWRyYW50cw%3D%3D</t>
  </si>
  <si>
    <t>Perform fire hydrant motions to engage hip muscles.</t>
  </si>
  <si>
    <t>Fire Hydrants to Kick Back</t>
  </si>
  <si>
    <t>https://www.youtube.com/watch?v=tdSOoPOqqDQ&amp;pp=ygUaRmlyZSBIeWRyYW50cyB0byBLaWNrIEJhY2s%3D</t>
  </si>
  <si>
    <t>Combine fire hydrant and kickback motions for hip engagement.</t>
  </si>
  <si>
    <t>Floor Chest Press Hollow Hold</t>
  </si>
  <si>
    <t>https://www.youtube.com/watch?v=iYAbu_CLPu8&amp;pp=ygUdRmxvb3IgQ2hlc3QgUHJlc3MgSG9sbG93IEhvbGQ%3D</t>
  </si>
  <si>
    <t>Perform floor chest press while maintaining hollow body hold.</t>
  </si>
  <si>
    <t>Floor DB Hip Thrust</t>
  </si>
  <si>
    <t>https://www.youtube.com/watch?v=QPTcLlOWSl4&amp;pp=ygUTRmxvb3IgREIgSGlwIFRocnVzdA%3D%3D</t>
  </si>
  <si>
    <t>Engage glutes with floor hip thrust using dumbbells.</t>
  </si>
  <si>
    <t>Floor Slides</t>
  </si>
  <si>
    <t>https://www.youtube.com/watch?v=pAgixGIu7os&amp;pp=ygUMRmxvb3IgU2xpZGVz</t>
  </si>
  <si>
    <t>Perform sliding movements on the floor to engage muscles.</t>
  </si>
  <si>
    <t>Floor Tricep Dips</t>
  </si>
  <si>
    <t>https://www.youtube.com/watch?v=s3Mppxwx1o8&amp;pp=ygURRmxvb3IgVHJpY2VwIERpcHM%3D</t>
  </si>
  <si>
    <t>Engage triceps with floor tricep dips.</t>
  </si>
  <si>
    <t>Foam Roll</t>
  </si>
  <si>
    <t>Recovery</t>
  </si>
  <si>
    <t>https://www.youtube.com/watch?v=Oz4xHEgMaLY&amp;pp=ygUJRm9hbSBSb2xs</t>
  </si>
  <si>
    <t>Use a foam roller for self-myofascial release and relaxation.</t>
  </si>
  <si>
    <t>Forearm Plank</t>
  </si>
  <si>
    <t>https://www.youtube.com/watch?v=mH5Sfb_KTGg&amp;pp=ygUNRm9yZWFybSBQbGFuaw%3D%3D</t>
  </si>
  <si>
    <t>Engage core and stabilize with forearm plank position.</t>
  </si>
  <si>
    <t>Forearm Wall-Slide at 135 Degrees</t>
  </si>
  <si>
    <t>https://www.youtube.com/watch?v=GovLGiJSXwU&amp;pp=ygUhRm9yZWFybSBXYWxsLVNsaWRlIGF0IDEzNSBEZWdyZWVz</t>
  </si>
  <si>
    <t>Slide forearms up the wall at a 135-degree angle for mobility.</t>
  </si>
  <si>
    <t>Forward Lunge</t>
  </si>
  <si>
    <t>https://www.youtube.com/watch?v=GA-GIqoOWek&amp;pp=ygUNRm9yd2FyZCBMdW5nZQ%3D%3D</t>
  </si>
  <si>
    <t>Engage legs and glutes with forward lunges.</t>
  </si>
  <si>
    <t>Forward Lunge w/ Twist</t>
  </si>
  <si>
    <t>https://www.youtube.com/watch?v=btsKBsnysqM&amp;pp=ygUWRm9yd2FyZCBMdW5nZSB3LyBUd2lzdA%3D%3D</t>
  </si>
  <si>
    <t>Add a twist motion to forward lunges for added challenge.</t>
  </si>
  <si>
    <t>Forward Lunge with Bicep Curl</t>
  </si>
  <si>
    <t>Legs, Biceps</t>
  </si>
  <si>
    <t>https://www.youtube.com/watch?v=fIvr9ootgos&amp;pp=ygUdRm9yd2FyZCBMdW5nZSB3aXRoIEJpY2VwIEN1cmw%3D</t>
  </si>
  <si>
    <t>Perform bicep curls while doing forward lunges.</t>
  </si>
  <si>
    <t>Forward Lunge with Reach</t>
  </si>
  <si>
    <t>https://www.youtube.com/watch?v=_oVuaQjj4Zw&amp;pp=ygUYRm9yd2FyZCBMdW5nZSB3aXRoIFJlYWNo</t>
  </si>
  <si>
    <t>Reach forward during lunges to engage core and stretch.</t>
  </si>
  <si>
    <t>Forward Lunge with Rotation</t>
  </si>
  <si>
    <t>https://www.youtube.com/watch?v=jNXZ3xjzaXI&amp;pp=ygUbRm9yd2FyZCBMdW5nZSB3aXRoIFJvdGF0aW9u</t>
  </si>
  <si>
    <t>Rotate torso during forward lunges to engage obliques.</t>
  </si>
  <si>
    <t>Forward Lunge With Twist</t>
  </si>
  <si>
    <t>https://www.youtube.com/watch?v=btsKBsnysqM&amp;pp=ygUYRm9yd2FyZCBMdW5nZSBXaXRoIFR3aXN0</t>
  </si>
  <si>
    <t>Engage core with twist motion during forward lunges.</t>
  </si>
  <si>
    <t>Frankensteins</t>
  </si>
  <si>
    <t>https://www.youtube.com/watch?v=47a71yHMN54&amp;pp=ygUXZnJhbmtlbnN0ZWluJ3MgZXhlcmNpc2U%3D</t>
  </si>
  <si>
    <t>Engage hamstrings with Frankensteins high kicks.</t>
  </si>
  <si>
    <t>French Press</t>
  </si>
  <si>
    <t>https://www.youtube.com/watch?v=JImgCWzCHwI&amp;pp=ygUWeEZyZW5jaCBQcmVzcyBleGVyY2lzZQ%3D%3D</t>
  </si>
  <si>
    <t>Engage triceps with French press motion.</t>
  </si>
  <si>
    <t>Frog Pose</t>
  </si>
  <si>
    <t>https://www.youtube.com/watch?v=bxO4MK8YDWE&amp;pp=ygUJRnJvZyBQb3Nl</t>
  </si>
  <si>
    <t>Perform the frog pose for hip opening and mobility.</t>
  </si>
  <si>
    <t>Froggers</t>
  </si>
  <si>
    <t>https://www.youtube.com/watch?v=e5O850feKz8&amp;pp=ygURRnJvZ2dlcnMgZXhlcmNpc2U%3D</t>
  </si>
  <si>
    <t>Combine squat and plank motions in froggers exercise.</t>
  </si>
  <si>
    <t>Front and Back Lunge</t>
  </si>
  <si>
    <t>https://www.youtube.com/watch?v=AbNA7vXyioM&amp;pp=ygUURnJvbnQgYW5kIEJhY2sgTHVuZ2U%3D</t>
  </si>
  <si>
    <t>Engage legs and glutes with alternating front and back lunges.</t>
  </si>
  <si>
    <t>Front Foot Elevated Lunges</t>
  </si>
  <si>
    <t>https://www.youtube.com/watch?v=UDuoOVkcvjo&amp;pp=ygUaRnJvbnQgRm9vdCBFbGV2YXRlZCBMdW5nZXM%3D</t>
  </si>
  <si>
    <t>Perform lunges with the front foot elevated for added challenge.</t>
  </si>
  <si>
    <t>Front Lunge to Overhead Triceps</t>
  </si>
  <si>
    <t>Legs, Triceps</t>
  </si>
  <si>
    <t>https://www.youtube.com/watch?v=cRAPFi5n_NE&amp;pp=ygUfRnJvbnQgTHVuZ2UgdG8gT3ZlcmhlYWQgVHJpY2Vwcw%3D%3D</t>
  </si>
  <si>
    <t>Engage triceps during front lunges by adding overhead motion.</t>
  </si>
  <si>
    <t>Front Rack Reverse Lunge</t>
  </si>
  <si>
    <t>https://www.youtube.com/watch?v=Vlgh0ImT5oU&amp;pp=ygUYRnJvbnQgUmFjayBSZXZlcnNlIEx1bmdl</t>
  </si>
  <si>
    <t>Perform reverse lunges while holding the barbell in front rack.</t>
  </si>
  <si>
    <t>Get Up Sit Up</t>
  </si>
  <si>
    <t>https://www.youtube.com/watch?v=rASjuHdAxew&amp;pp=ygUSICAgCSBHZXQgVXAgU2l0IFVw</t>
  </si>
  <si>
    <t>Perform sit-ups while transitioning to a standing position.</t>
  </si>
  <si>
    <t>GHD Hip Extension</t>
  </si>
  <si>
    <t>Glutes, Hamstrings</t>
  </si>
  <si>
    <t>https://www.youtube.com/watch?v=ZRar3mBCdmA&amp;pp=ygURR0hEIEhpcCBFeHRlbnNpb24%3D</t>
  </si>
  <si>
    <t>Engage glutes and hamstrings with GHD hip extension exercise.</t>
  </si>
  <si>
    <t>GHD Russian Twist</t>
  </si>
  <si>
    <t>https://www.youtube.com/shorts/g-hztBRGNKY</t>
  </si>
  <si>
    <t>Perform Russian twists using a GHD machine for added challenge.</t>
  </si>
  <si>
    <t>GHD Sit-up</t>
  </si>
  <si>
    <t>https://www.youtube.com/watch?v=1pbZ8mX2D1U&amp;pp=ygUKR0hEIFNpdC11cA%3D%3D</t>
  </si>
  <si>
    <t>Engage core with GHD sit-up exercise.</t>
  </si>
  <si>
    <t>Glute Biased Leg Press</t>
  </si>
  <si>
    <t>https://www.youtube.com/watch?v=2WzJbFY__lk&amp;pp=ygUWR2x1dGUgQmlhc2VkIExlZyBQcmVzcw%3D%3D</t>
  </si>
  <si>
    <t>Target glutes with leg press exercise focusing on glute activation.</t>
  </si>
  <si>
    <t>Glute Bridge Chest Press</t>
  </si>
  <si>
    <t>Glutes, Chest</t>
  </si>
  <si>
    <t>https://www.youtube.com/watch?v=A-wKJcMrMRs&amp;pp=ygUYR2x1dGUgQnJpZGdlIENoZXN0IFByZXNz</t>
  </si>
  <si>
    <t>Engage glutes and chest with glute bridge chest presses.</t>
  </si>
  <si>
    <t>Glute Bridge to Sit Up</t>
  </si>
  <si>
    <t>Glutes, Core</t>
  </si>
  <si>
    <t>https://www.youtube.com/watch?v=cGdhGft43Tc&amp;pp=ygUWR2x1dGUgQnJpZGdlIHRvIFNpdCBVcA%3D%3D</t>
  </si>
  <si>
    <t>Transition from glute bridge to sit-up for core engagement.</t>
  </si>
  <si>
    <t>Glute Bridge with Calf Raises</t>
  </si>
  <si>
    <t>Glutes, Calves</t>
  </si>
  <si>
    <t>https://www.youtube.com/shorts/YDSjolCIDmQ</t>
  </si>
  <si>
    <t>Engage calves in glute bridge exercise with calf raises.</t>
  </si>
  <si>
    <t>Glute Focused Hip Extension</t>
  </si>
  <si>
    <t>https://www.youtube.com/watch?v=w5QPcMaT_DQ&amp;pp=ygUbR2x1dGUgRm9jdXNlZCBIaXAgRXh0ZW5zaW9u</t>
  </si>
  <si>
    <t>Perform hip extensions focusing on glute engagement.</t>
  </si>
  <si>
    <t>Glute Focused Hyper Extension</t>
  </si>
  <si>
    <t>https://www.youtube.com/watch?v=YGUOyLf6BUg&amp;pp=ygU4R2x1dGUgRm9jdXNlZCBIaXAgRXh0ZW5zaW9uR2x1dGUgRm9jdXNlZCBIeXBlciBFeHRlbnNpb24%3D</t>
  </si>
  <si>
    <t>Engage glutes with hyperextension exercise.</t>
  </si>
  <si>
    <t>Glute Focused RDL</t>
  </si>
  <si>
    <t>https://www.youtube.com/watch?v=WIcpu2UkJoY&amp;pp=ygURR2x1dGUgRm9jdXNlZCBSREw%3D</t>
  </si>
  <si>
    <t>Perform RDLs with a focus on engaging glutes.</t>
  </si>
  <si>
    <t>Glute Focused Split Squats</t>
  </si>
  <si>
    <t>Glutes, Legs</t>
  </si>
  <si>
    <t>https://www.youtube.com/watch?v=hPlKPjohFS0&amp;pp=ygUaR2x1dGUgRm9jdXNlZCBTcGxpdCBTcXVhdHM%3D</t>
  </si>
  <si>
    <t>Engage glutes with split squats focusing on glute activation.</t>
  </si>
  <si>
    <t>Glute-Ham Raise</t>
  </si>
  <si>
    <t>https://www.youtube.com/watch?v=m0AIU1dCVkU&amp;pp=ygUPR2x1dGUtSGFtIFJhaXNl</t>
  </si>
  <si>
    <t>Perform glute-ham raises for hamstring and glute engagement.</t>
  </si>
  <si>
    <t>Glute-Iso Step Ups</t>
  </si>
  <si>
    <t>https://www.youtube.com/shorts/TG3xUe-UvCQ</t>
  </si>
  <si>
    <t>Engage glutes and legs with isolated step-up motion.</t>
  </si>
  <si>
    <t>Goblet 1 1/4 Squat</t>
  </si>
  <si>
    <t>https://www.youtube.com/watch?v=N5_xeuCiyJg&amp;pp=ygUSR29ibGV0IDEgMS80IFNxdWF0</t>
  </si>
  <si>
    <t>Perform squats with 1 1/4 range of motion using a goblet.</t>
  </si>
  <si>
    <t>Goblet Lateral Lunge</t>
  </si>
  <si>
    <t>https://www.youtube.com/watch?v=6DMXBtF_Spg&amp;pp=ygUUR29ibGV0IExhdGVyYWwgTHVuZ2U%3D</t>
  </si>
  <si>
    <t>Engage legs and glutes with lateral lunges using a goblet.</t>
  </si>
  <si>
    <t>Goblet Lateral Lunge Walk</t>
  </si>
  <si>
    <t>https://www.youtube.com/watch?v=mpNAxv0MgVM&amp;pp=ygUZR29ibGV0IExhdGVyYWwgTHVuZ2UgV2Fsaw%3D%3D</t>
  </si>
  <si>
    <t>Perform walking lateral lunges holding a goblet.</t>
  </si>
  <si>
    <t>Goblet Lateral Squat</t>
  </si>
  <si>
    <t>https://www.youtube.com/watch?v=QbzKij6Zx6s&amp;pp=ygUUR29ibGV0IExhdGVyYWwgU3F1YXQ%3D</t>
  </si>
  <si>
    <t>Engage legs and glutes with lateral squats using a goblet.</t>
  </si>
  <si>
    <t>Goblet Lunge</t>
  </si>
  <si>
    <t>https://www.youtube.com/watch?v=rTJRq7TASsg&amp;pp=ygURICAgCSBHb2JsZXQgTHVuZ2U%3D</t>
  </si>
  <si>
    <t>Perform lunges holding a goblet for added resistance.</t>
  </si>
  <si>
    <t>Goblet Pulse Squats</t>
  </si>
  <si>
    <t>https://www.youtube.com/watch?v=j9R9ISazx9c&amp;pp=ygUTR29ibGV0IFB1bHNlIFNxdWF0cw%3D%3D</t>
  </si>
  <si>
    <t>Perform pulse squats holding a goblet for added challenge.</t>
  </si>
  <si>
    <t>Goblet Reverse Lunge</t>
  </si>
  <si>
    <t>https://www.youtube.com/watch?v=rYrbrFS2bqE&amp;pp=ygUUR29ibGV0IFJldmVyc2UgTHVuZ2U%3D</t>
  </si>
  <si>
    <t>Engage legs and glutes with reverse lunges using a goblet.</t>
  </si>
  <si>
    <t>Goblet Reverse Lunge With Blocked Knee</t>
  </si>
  <si>
    <t>https://www.youtube.com/watch?v=ce0okBGTKB4&amp;pp=ygUmR29ibGV0IFJldmVyc2UgTHVuZ2UgV2l0aCBCbG9ja2VkIEtuZWU%3D</t>
  </si>
  <si>
    <t>Perform reverse lunges with a blocked knee holding a goblet.</t>
  </si>
  <si>
    <t>Goblet Split Squat</t>
  </si>
  <si>
    <t>https://www.youtube.com/watch?v=X13mW_a88Hw&amp;pp=ygUSR29ibGV0IFNwbGl0IFNxdWF0</t>
  </si>
  <si>
    <t>Engage legs and glutes with split squats holding a goblet.</t>
  </si>
  <si>
    <t>Goblet Split Squat With Blocked Knee</t>
  </si>
  <si>
    <t>https://www.youtube.com/watch?v=jZRiY-jwePk&amp;pp=ygUkR29ibGV0IFNwbGl0IFNxdWF0IFdpdGggQmxvY2tlZCBLbmVl</t>
  </si>
  <si>
    <t>Perform split squats with a blocked knee using a goblet.</t>
  </si>
  <si>
    <t>Goblet Squat</t>
  </si>
  <si>
    <t>https://www.youtube.com/watch?v=f-Vf2yRRqOg&amp;pp=ygUMR29ibGV0IFNxdWF0</t>
  </si>
  <si>
    <t>Engage legs and glutes with squats holding a goblet.</t>
  </si>
  <si>
    <t>Goblet Squat Iso</t>
  </si>
  <si>
    <t>https://www.youtube.com/watch?v=qauQpg8QZw4&amp;pp=ygUQR29ibGV0IFNxdWF0IElzbw%3D%3D</t>
  </si>
  <si>
    <t>Perform isometric squats holding a goblet for added challenge.</t>
  </si>
  <si>
    <t>Goblet Squat to Box</t>
  </si>
  <si>
    <t>https://www.youtube.com/watch?v=Aub3U8uHNQk&amp;pp=ygUTR29ibGV0IFNxdWF0IHRvIEJveA%3D%3D</t>
  </si>
  <si>
    <t>Engage legs and glutes with squats to a box holding a goblet.</t>
  </si>
  <si>
    <t>Goblet Squat With Pulse</t>
  </si>
  <si>
    <t>https://www.youtube.com/watch?v=j9R9ISazx9c&amp;pp=ygUXR29ibGV0IFNxdWF0IFdpdGggUHVsc2U%3D</t>
  </si>
  <si>
    <t>Goblet Step-Up</t>
  </si>
  <si>
    <t>https://www.youtube.com/watch?v=ci0s9-U1S50&amp;pp=ygUOR29ibGV0IFN0ZXAtVXA%3D</t>
  </si>
  <si>
    <t>Engage legs and glutes with step-ups holding a goblet.</t>
  </si>
  <si>
    <t>Goblet Sumo Squats</t>
  </si>
  <si>
    <t>https://www.youtube.com/watch?v=L6vkuSVCRs4&amp;pp=ygUSR29ibGV0IFN1bW8gU3F1YXRz</t>
  </si>
  <si>
    <t>Perform sumo squats holding a goblet to engage legs and glutes.</t>
  </si>
  <si>
    <t>Good Morning</t>
  </si>
  <si>
    <t>Back, Hamstrings</t>
  </si>
  <si>
    <t>https://www.youtube.com/watch?v=OWz0f3CN_xg&amp;pp=ygUVR29vZCBNb3JuaW5nIGV4ZXJjaXNl</t>
  </si>
  <si>
    <t>Engage lower back and hamstrings with good mornings exercise.</t>
  </si>
  <si>
    <t>Gorilla Squat</t>
  </si>
  <si>
    <t>https://www.youtube.com/watch?v=_e1T17mMggo&amp;pp=ygUNR29yaWxsYSBTcXVhdA%3D%3D</t>
  </si>
  <si>
    <t>Engage legs and perform gorilla squat exercise.</t>
  </si>
  <si>
    <t>Ground to Overhead Press</t>
  </si>
  <si>
    <t>https://www.youtube.com/watch?v=e2aZotdgaZs&amp;pp=ygUYR3JvdW5kIHRvIE92ZXJoZWFkIFByZXNz</t>
  </si>
  <si>
    <t>Transition from ground to overhead press with added weight.</t>
  </si>
  <si>
    <t>Hack Squat</t>
  </si>
  <si>
    <t>https://www.youtube.com/watch?v=0tn5K9NlCfo&amp;pp=ygUKSGFjayBTcXVhdA%3D%3D</t>
  </si>
  <si>
    <t>Engage legs and glutes with hack squats exercise.</t>
  </si>
  <si>
    <t>Half Burpees</t>
  </si>
  <si>
    <t>https://www.youtube.com/watch?v=8GJoTBRtdbg&amp;pp=ygUMSGFsZiBCdXJwZWVz</t>
  </si>
  <si>
    <t>Perform half burpees combining squat and plank motions.</t>
  </si>
  <si>
    <t>Half Dead Bugs</t>
  </si>
  <si>
    <t>https://www.youtube.com/watch?v=YFh534WC3uw&amp;pp=ygUOSGFsZiBEZWFkIEJ1Z3M%3D</t>
  </si>
  <si>
    <t>Engage core with half dead bugs exercise.</t>
  </si>
  <si>
    <t>Half Get-Up</t>
  </si>
  <si>
    <t>https://www.youtube.com/watch?v=vmYnRlWcEjU&amp;pp=ygUPICAJIEhhbGYgR2V0LVVw</t>
  </si>
  <si>
    <t>Perform partial get-up exercise to engage core and stability.</t>
  </si>
  <si>
    <t>Half Kneeling Face Pulls</t>
  </si>
  <si>
    <t>https://www.youtube.com/watch?v=ieJ9z19OJu4&amp;pp=ygUYSGFsZiBLbmVlbGluZyBGYWNlIFB1bGxz</t>
  </si>
  <si>
    <t>Perform face pulls in a half kneeling position for engagement.</t>
  </si>
  <si>
    <t>Half Kneeling Lift and Chop</t>
  </si>
  <si>
    <t>https://www.youtube.com/watch?v=Psmkt_Tft5E&amp;pp=ygUbSGFsZiBLbmVlbGluZyBMaWZ0IGFuZCBDaG9w</t>
  </si>
  <si>
    <t>Engage core with lift and chop exercise in half kneeling position.</t>
  </si>
  <si>
    <t>Half Kneeling Overhead Press</t>
  </si>
  <si>
    <t>https://www.youtube.com/watch?v=PDWNs3oPCow&amp;pp=ygUcSGFsZiBLbmVlbGluZyBPdmVyaGVhZCBQcmVzcw%3D%3D</t>
  </si>
  <si>
    <t>Perform overhead press in half kneeling position.</t>
  </si>
  <si>
    <t>Half Kneeling Palloffs</t>
  </si>
  <si>
    <t>https://www.youtube.com/watch?v=DWwI61I1KAM&amp;pp=ygUWSGFsZiBLbmVlbGluZyBQYWxsb2Zmcw%3D%3D</t>
  </si>
  <si>
    <t>Engage core with palloffs exercise in half kneeling position.</t>
  </si>
  <si>
    <t>Half Kneeling Rows</t>
  </si>
  <si>
    <t>https://www.youtube.com/watch?v=Yri2Z-R-Ze4&amp;pp=ygUSSGFsZiBLbmVlbGluZyBSb3dz</t>
  </si>
  <si>
    <t>Perform rows in a half kneeling position for engagement.</t>
  </si>
  <si>
    <t>Half Kneeling Shoulder Press</t>
  </si>
  <si>
    <t>https://www.youtube.com/watch?v=8Fx7b81Gs1E&amp;pp=ygUcSGFsZiBLbmVlbGluZyBTaG91bGRlciBQcmVzcw%3D%3D</t>
  </si>
  <si>
    <t>Engage shoulders in a half kneeling position with presses.</t>
  </si>
  <si>
    <t>Half Kneeling Single Arm Arnold Press</t>
  </si>
  <si>
    <t>https://www.youtube.com/watch?v=V7oyQrIvF0M&amp;pp=ygUlSGFsZiBLbmVlbGluZyBTaW5nbGUgQXJtIEFybm9sZCBQcmVzcw%3D%3D</t>
  </si>
  <si>
    <t>Perform single-arm Arnold press in half kneeling position.</t>
  </si>
  <si>
    <t>Half Kneeling Single-Arm Press</t>
  </si>
  <si>
    <t>https://www.youtube.com/watch?v=4DUIY95jX6Y&amp;pp=ygUeSGFsZiBLbmVlbGluZyBTaW5nbGUtQXJtIFByZXNz</t>
  </si>
  <si>
    <t>Engage shoulders with single-arm presses in half kneeling position.</t>
  </si>
  <si>
    <t>Half Turkish Get Up</t>
  </si>
  <si>
    <t>https://www.youtube.com/watch?v=sgd8n917Zv0&amp;pp=ygUTSGFsZiBUdXJraXNoIEdldCBVcA%3D%3D</t>
  </si>
  <si>
    <t>Perform half Turkish get-up exercise to engage core and stability.</t>
  </si>
  <si>
    <t>Half-Kneeling Band Chop</t>
  </si>
  <si>
    <t>https://www.youtube.com/watch?v=8gu5U580aM8&amp;pp=ygUXSGFsZi1LbmVlbGluZyBCYW5kIENob3A%3D</t>
  </si>
  <si>
    <t>Engage core with half-kneeling band chop exercise.</t>
  </si>
  <si>
    <t>Half-Kneeling Band Lift</t>
  </si>
  <si>
    <t>https://www.youtube.com/watch?v=qC_QDWMShi8&amp;pp=ygUXSGFsZi1LbmVlbGluZyBCYW5kIExpZnQ%3D</t>
  </si>
  <si>
    <t>Perform half-kneeling band lift exercise.</t>
  </si>
  <si>
    <t>Half-Kneeling Band Overhead Shrug</t>
  </si>
  <si>
    <t>https://www.youtube.com/watch?v=EevLTIs3yGA&amp;pp=ygUhSGFsZi1LbmVlbGluZyBCYW5kIE92ZXJoZWFkIFNocnVn</t>
  </si>
  <si>
    <t>Engage shoulders with band overhead shrugs in half kneeling position.</t>
  </si>
  <si>
    <t>Half-Kneeling Cable Chop</t>
  </si>
  <si>
    <t>https://www.youtube.com/watch?v=c1m8jdJaaS8&amp;pp=ygUYSGFsZi1LbmVlbGluZyBDYWJsZSBDaG9w</t>
  </si>
  <si>
    <t>Perform cable chops in a half kneeling position to engage core.</t>
  </si>
  <si>
    <t>Half-Kneeling Cable Lift</t>
  </si>
  <si>
    <t>https://www.youtube.com/watch?v=0d0JDpUupxs&amp;pp=ygUYSGFsZi1LbmVlbGluZyBDYWJsZSBMaWZ0</t>
  </si>
  <si>
    <t>Engage core and stability with half-kneeling cable lift exercise.</t>
  </si>
  <si>
    <t>Half-Kneeling Pallof Press Iso</t>
  </si>
  <si>
    <t>https://www.youtube.com/watch?v=daqBRjkFwk8&amp;pp=ygUeSGFsZi1LbmVlbGluZyBQYWxsb2YgUHJlc3MgSXNv</t>
  </si>
  <si>
    <t>Perform isometric Pallof press exercise in half kneeling position.</t>
  </si>
  <si>
    <t>Half-Kneeling Pallof Press Iso With Band</t>
  </si>
  <si>
    <t>https://www.youtube.com/watch?v=CRHHSmoakC8&amp;pp=ygUoSGFsZi1LbmVlbGluZyBQYWxsb2YgUHJlc3MgSXNvIFdpdGggQmFuZA%3D%3D</t>
  </si>
  <si>
    <t>Engage core with isometric Pallof press using a band.</t>
  </si>
  <si>
    <t>Hammer Cable Curl</t>
  </si>
  <si>
    <t>https://www.youtube.com/watch?v=vsarApmqJmo&amp;pp=ygURSGFtbWVyIENhYmxlIEN1cmw%3D</t>
  </si>
  <si>
    <t>Engage biceps with cable curls using a hammer grip.</t>
  </si>
  <si>
    <t>https://www.youtube.com/watch?v=zC3nLlEvin4&amp;pp=ygULSGFtbWVyIEN1cmw%3D</t>
  </si>
  <si>
    <t>Perform hammer curls to engage biceps with a neutral grip.</t>
  </si>
  <si>
    <t>Hammer Curl to Eccentric Suppination</t>
  </si>
  <si>
    <t>https://www.youtube.com/watch?v=vPPVFaKC1M4&amp;pp=ygUkSGFtbWVyIEN1cmwgdG8gRWNjZW50cmljIFN1cHBpbmF0aW9u</t>
  </si>
  <si>
    <t>Perform curls with eccentric supination for added challenge.</t>
  </si>
  <si>
    <t>Hamstring Curl</t>
  </si>
  <si>
    <t>Hamstrings</t>
  </si>
  <si>
    <t>https://www.youtube.com/watch?v=SbSNUXPRkc8&amp;pp=ygUOSGFtc3RyaW5nIEN1cmw%3D</t>
  </si>
  <si>
    <t>Engage hamstrings with hamstring curl exercise.</t>
  </si>
  <si>
    <t>Hamstring Mobilization With Lacrosse Ball</t>
  </si>
  <si>
    <t>https://www.youtube.com/watch?v=DHPLhWH1dY4&amp;pp=ygUpSGFtc3RyaW5nIE1vYmlsaXphdGlvbiBXaXRoIExhY3Jvc3NlIEJhbGw%3D</t>
  </si>
  <si>
    <t>Mobilize hamstrings using a lacrosse ball.</t>
  </si>
  <si>
    <t>Hamstring Scoops</t>
  </si>
  <si>
    <t>https://www.youtube.com/watch?v=9VX1IOp_qrw&amp;pp=ygUQSGFtc3RyaW5nIFNjb29wcw%3D%3D</t>
  </si>
  <si>
    <t>Engage hamstrings with hamstring scoops exercise.</t>
  </si>
  <si>
    <t>Hamstring Slides</t>
  </si>
  <si>
    <t>https://www.youtube.com/watch?v=Dlazt593cuA&amp;pp=ygUQSGFtc3RyaW5nIFNsaWRlcw%3D%3D</t>
  </si>
  <si>
    <t>Perform sliding movements to engage hamstrings.</t>
  </si>
  <si>
    <t>Hamstring Strap Stretch</t>
  </si>
  <si>
    <t>https://www.youtube.com/watch?v=JR94frfcfWs&amp;pp=ygUXSGFtc3RyaW5nIFN0cmFwIFN0cmV0Y2g%3D</t>
  </si>
  <si>
    <t>Stretch hamstrings using a strap.</t>
  </si>
  <si>
    <t>Hamstring Switches</t>
  </si>
  <si>
    <t>https://www.youtube.com/watch?v=74jrJjbcVd4&amp;pp=ygUSSGFtc3RyaW5nIFN3aXRjaGVz</t>
  </si>
  <si>
    <t>Perform switches to engage hamstrings.</t>
  </si>
  <si>
    <t>Hamstring Walk Outs</t>
  </si>
  <si>
    <t>https://www.youtube.com/watch?v=KUQ1RldKLHk&amp;pp=ygUTSGFtc3RyaW5nIFdhbGsgT3V0cw%3D%3D</t>
  </si>
  <si>
    <t>Engage hamstrings with walk outs exercise.</t>
  </si>
  <si>
    <t>Hand-Supported V-Ups</t>
  </si>
  <si>
    <t>https://www.youtube.com/watch?v=S1ViGdqyDqM&amp;pp=ygUUSGFuZC1TdXBwb3J0ZWQgVi1VcHM%3D</t>
  </si>
  <si>
    <t>Engage core with hand-supported V-ups exercise.</t>
  </si>
  <si>
    <t>Hands-Elevated Pushup</t>
  </si>
  <si>
    <t>https://www.youtube.com/watch?v=N-O6f4U58Dk&amp;pp=ygUVSGFuZHMtRWxldmF0ZWQgUHVzaHVw</t>
  </si>
  <si>
    <t>Engage chest and triceps with hands-elevated pushups.</t>
  </si>
  <si>
    <t>Hang Clean</t>
  </si>
  <si>
    <t>https://www.youtube.com/watch?v=DaKC_BEN5bk&amp;pp=ygUKSGFuZyBDbGVhbg%3D%3D</t>
  </si>
  <si>
    <t>Engage muscles with hang clean exercise.</t>
  </si>
  <si>
    <t>Hanging Anti-Lateral Flexion</t>
  </si>
  <si>
    <t>https://www.youtube.com/watch?v=f95XQj-bUDM&amp;pp=ygUcSGFuZ2luZyBBbnRpLUxhdGVyYWwgRmxleGlvbg%3D%3D</t>
  </si>
  <si>
    <t>Perform hanging anti-lateral flexion exercise for oblique engagement.</t>
  </si>
  <si>
    <t>Hanging Around The World Leg Raise</t>
  </si>
  <si>
    <t>https://www.youtube.com/watch?v=g52W8r1poZE&amp;pp=ygUiSGFuZ2luZyBBcm91bmQgVGhlIFdvcmxkIExlZyBSYWlzZQ%3D%3D</t>
  </si>
  <si>
    <t>Engage core with leg raises in a circular motion while hanging.</t>
  </si>
  <si>
    <t>Hanging Knee Raise</t>
  </si>
  <si>
    <t>https://www.youtube.com/watch?v=RD_A-Z15ER4&amp;pp=ygUSSGFuZ2luZyBLbmVlIFJhaXNl</t>
  </si>
  <si>
    <t>Perform knee raises while hanging to engage core muscles.</t>
  </si>
  <si>
    <t>Hanging Leg Raise</t>
  </si>
  <si>
    <t>https://www.youtube.com/watch?v=RuIdJSVTKO4&amp;pp=ygURSGFuZ2luZyBMZWcgUmFpc2U%3D</t>
  </si>
  <si>
    <t>Engage core muscles with hanging leg raise exercise.</t>
  </si>
  <si>
    <t>Hanging Twisting Leg Raise</t>
  </si>
  <si>
    <t>https://www.youtube.com/watch?v=Pr1ieGZ5atk&amp;pp=ygUaSGFuZ2luZyBUd2lzdGluZyBMZWcgUmFpc2U%3D</t>
  </si>
  <si>
    <t>Perform twisting leg raises while hanging to engage obliques.</t>
  </si>
  <si>
    <t>Hanging Unilateral March</t>
  </si>
  <si>
    <t>https://www.youtube.com/shorts/P_7fVVPvMu4</t>
  </si>
  <si>
    <t>Perform unilateral marches while hanging to engage core.</t>
  </si>
  <si>
    <t>Heel Elevated Barbell Squat</t>
  </si>
  <si>
    <t>https://www.youtube.com/shorts/gslEzVggur8</t>
  </si>
  <si>
    <t>Engage legs and glutes with squats using elevated heels.</t>
  </si>
  <si>
    <t>Heel Elevated Front Squat</t>
  </si>
  <si>
    <t>https://youtu.be/s8Hx4udb96M?si=kEu3ZcQWB51xVOLT</t>
  </si>
  <si>
    <t>Heel Elevated Single Hip Thrust</t>
  </si>
  <si>
    <t>https://www.youtube.com/watch?v=YZW3mw_h_DA&amp;pp=ygUfSGVlbCBFbGV2YXRlZCBTaW5nbGUgSGlwIFRocnVzdA%3D%3D</t>
  </si>
  <si>
    <t>Perform single hip thrusts with elevated heels for glute engagement.</t>
  </si>
  <si>
    <t>Heel Elevated Step Down</t>
  </si>
  <si>
    <t>https://www.youtube.com/watch?v=mJOCFguZRUE&amp;pp=ygUXSGVlbCBFbGV2YXRlZCBTdGVwIERvd24%3D</t>
  </si>
  <si>
    <t>Engage leg muscles with step-down exercise using elevated heels.</t>
  </si>
  <si>
    <t>Heel Taps</t>
  </si>
  <si>
    <t>https://www.youtube.com/watch?v=YIOIGUQMck8&amp;pp=ygUJSGVlbCBUYXBz</t>
  </si>
  <si>
    <t>Perform heel taps exercise to engage core muscles.</t>
  </si>
  <si>
    <t>Heels Elevated Sumo Squat Pulses</t>
  </si>
  <si>
    <t>https://www.youtube.com/watch?v=iPcEh_orLxI&amp;pp=ygUgSGVlbHMgRWxldmF0ZWQgU3VtbyBTcXVhdCBQdWxzZXM%3D</t>
  </si>
  <si>
    <t>Engage legs and glutes with sumo squat pulses using elevated heels.</t>
  </si>
  <si>
    <t>Helms Dumbbell Row</t>
  </si>
  <si>
    <t>https://www.youtube.com/watch?v=G1UsKHGv_MY&amp;pp=ygUSSGVsbXMgRHVtYmJlbGwgUm93</t>
  </si>
  <si>
    <t>Perform dumbbell rows to engage upper back muscles.</t>
  </si>
  <si>
    <t>High Cable Bicep Curl</t>
  </si>
  <si>
    <t>https://www.youtube.com/watch?v=0Gef7oq3cv4&amp;pp=ygUVSGlnaCBDYWJsZSBCaWNlcCBDdXJs</t>
  </si>
  <si>
    <t>Engage biceps with bicep curls using a high cable attachment.</t>
  </si>
  <si>
    <t>High Five Push-Ups</t>
  </si>
  <si>
    <t>High Heel Kicks</t>
  </si>
  <si>
    <t>https://www.youtube.com/shorts/TDgeiFy7_ws</t>
  </si>
  <si>
    <t>Perform high heel kicks to engage leg muscles.</t>
  </si>
  <si>
    <t>High Knees</t>
  </si>
  <si>
    <t>https://www.youtube.com/watch?v=DfjpR6dzLVg&amp;pp=ygUKSGlnaCBLbmVlcw%3D%3D</t>
  </si>
  <si>
    <t>Engage legs and raise knees while jogging in place.</t>
  </si>
  <si>
    <t>High Knees Hands Behind Head</t>
  </si>
  <si>
    <t>https://www.youtube.com/watch?v=UJC-T11TsQU&amp;pp=ygUcSGlnaCBLbmVlcyBIYW5kcyBCZWhpbmQgSGVhZA%3D%3D</t>
  </si>
  <si>
    <t>Engage core while performing high knees with hands behind head.</t>
  </si>
  <si>
    <t>High Knees with Overhead Extension</t>
  </si>
  <si>
    <t>https://www.youtube.com/shorts/OpjDCHAUpaA</t>
  </si>
  <si>
    <t>Engage core and shoulders with high knees and overhead extension.</t>
  </si>
  <si>
    <t>High Plank to Downward Dog</t>
  </si>
  <si>
    <t>https://www.youtube.com/watch?v=J8QhVr5Pvig&amp;pp=ygUaSGlnaCBQbGFuayB0byBEb3dud2FyZCBEb2c%3D</t>
  </si>
  <si>
    <t>Transition from high plank to downward dog to engage core and stretch.</t>
  </si>
  <si>
    <t>High Pull</t>
  </si>
  <si>
    <t>https://www.youtube.com/watch?v=_5tJG8iNpkA&amp;pp=ygUJSGlnaCBQdWxs</t>
  </si>
  <si>
    <t>Engage upper back and shoulders with high pulls exercise.</t>
  </si>
  <si>
    <t>Hip Abductions</t>
  </si>
  <si>
    <t>https://www.youtube.com/watch?v=CP4LjhZ_Wq0&amp;pp=ygUOSGlwIEFiZHVjdGlvbnM%3D</t>
  </si>
  <si>
    <t>Engage outer hip muscles with hip abductions exercise.</t>
  </si>
  <si>
    <t>Hip CARS</t>
  </si>
  <si>
    <t>https://www.youtube.com/watch?v=wz1GbxKLkKg&amp;pp=ygUISGlwIENBUlM%3D</t>
  </si>
  <si>
    <t>Perform controlled articular rotations (CARS) for hip mobility.</t>
  </si>
  <si>
    <t>Hip Dips</t>
  </si>
  <si>
    <t>https://www.youtube.com/watch?v=em4gADvYvMA&amp;pp=ygUISGlwIERpcHM%3D</t>
  </si>
  <si>
    <t>Engage core and lower body with hip dips exercise.</t>
  </si>
  <si>
    <t>Hip Extension Machine</t>
  </si>
  <si>
    <t>https://www.youtube.com/watch?v=O0YvpJZsf9I&amp;pp=ygUVSGlwIEV4dGVuc2lvbiBNYWNoaW5l</t>
  </si>
  <si>
    <t>Engage glutes and hamstrings with hip extension machine.</t>
  </si>
  <si>
    <t>Hip Flexor Rockers</t>
  </si>
  <si>
    <t>https://www.youtube.com/shorts/V4wtvX841A4</t>
  </si>
  <si>
    <t>Engage hip flexors with hip flexor rockers exercise.</t>
  </si>
  <si>
    <t>Hip Flexor Stretch</t>
  </si>
  <si>
    <t>https://www.youtube.com/watch?v=m2UEzPheLYk&amp;pp=ygUSSGlwIEZsZXhvciBTdHJldGNo</t>
  </si>
  <si>
    <t>Stretch hip flexors to improve flexibility and mobility.</t>
  </si>
  <si>
    <t>Hip Rotation</t>
  </si>
  <si>
    <t>https://www.youtube.com/watch?v=JwancB1LTsQ&amp;pp=ygUMSGlwIFJvdGF0aW9u</t>
  </si>
  <si>
    <t>Perform hip rotations to engage hip muscles and mobility.</t>
  </si>
  <si>
    <t>Hip-Belt Squat</t>
  </si>
  <si>
    <t>https://www.youtube.com/watch?v=Khcg0HgdpOY&amp;pp=ygUOSGlwLUJlbHQgU3F1YXQ%3D</t>
  </si>
  <si>
    <t>Engage leg muscles with squats using a hip-belt.</t>
  </si>
  <si>
    <t>In and Out Jumps</t>
  </si>
  <si>
    <t>https://www.youtube.com/watch?v=ZAK9zuAmEgM&amp;pp=ygUQSW4gYW5kIE91dCBKdW1wcw%3D%3D</t>
  </si>
  <si>
    <t>Perform in-and-out jumps to engage legs and cardio.</t>
  </si>
  <si>
    <t>Inch Worm</t>
  </si>
  <si>
    <t>https://www.youtube.com/watch?v=VSp0z7Mp5IU&amp;pp=ygUSSW5jaCBXb3JtIGV4ZXJjaXNl</t>
  </si>
  <si>
    <t>Engage core and upper body with inch worm exercise.</t>
  </si>
  <si>
    <t>Jefferson Curls (KB)</t>
  </si>
  <si>
    <t>https://www.youtube.com/watch?v=y80cxEpuYEU&amp;pp=ygUUSmVmZmVyc29uIEN1cmxzIChLQik%3D</t>
  </si>
  <si>
    <t>Perform Jefferson curls using a kettlebell for hamstring and lower back engagement.</t>
  </si>
  <si>
    <t>Jump Lunge</t>
  </si>
  <si>
    <t>https://www.youtube.com/watch?v=v4-w6r5bASs&amp;pp=ygUKSnVtcCBMdW5nZQ%3D%3D</t>
  </si>
  <si>
    <t>Engage legs with jump lunges for plyometric exercise.</t>
  </si>
  <si>
    <t>Jump Lunges with Overhead Extension</t>
  </si>
  <si>
    <t>Legs, Shoulders</t>
  </si>
  <si>
    <t>https://www.youtube.com/shorts/a5Hyo_rlWQw</t>
  </si>
  <si>
    <t>Engage legs and shoulders with jump lunges and overhead extension.</t>
  </si>
  <si>
    <t>Jump Lunges with Punches</t>
  </si>
  <si>
    <t>https://www.youtube.com/watch?v=NFnCuyJCx7c&amp;pp=ygUYSnVtcCBMdW5nZXMgd2l0aCBQdW5jaGVz</t>
  </si>
  <si>
    <t>Perform jump lunges with added punches for cardio and upper body engagement.</t>
  </si>
  <si>
    <t>Jump Rope</t>
  </si>
  <si>
    <t>https://www.youtube.com/watch?v=1-KvIEU03yc&amp;pp=ygUJSnVtcCBSb3Bl</t>
  </si>
  <si>
    <t>Engage cardiovascular system with jump rope exercise.</t>
  </si>
  <si>
    <t>Jump Squats</t>
  </si>
  <si>
    <t>https://www.youtube.com/watch?v=A-cFYWvaHr0&amp;pp=ygULSnVtcCBTcXVhdHM%3D</t>
  </si>
  <si>
    <t>Perform jump squats for explosive leg engagement.</t>
  </si>
  <si>
    <t>Jumping Jacks</t>
  </si>
  <si>
    <t>https://www.youtube.com/shorts/yg3KQQn3QWg</t>
  </si>
  <si>
    <t>Engage legs and cardio with jumping jacks exercise.</t>
  </si>
  <si>
    <t>KAS Hip Thrust</t>
  </si>
  <si>
    <t>https://www.youtube.com/watch?v=ylqOMMVUoVw&amp;pp=ygUOS0FTIEhpcCBUaHJ1c3Q%3D</t>
  </si>
  <si>
    <t>Engage glutes with hip thrusts using the KAS method.</t>
  </si>
  <si>
    <t>KB Deadlift</t>
  </si>
  <si>
    <t>https://www.youtube.com/watch?v=hinonqqzatk&amp;pp=ygULS0IgRGVhZGxpZnQ%3D</t>
  </si>
  <si>
    <t>Perform deadlifts using a kettlebell to engage lower back and legs.</t>
  </si>
  <si>
    <t>KB Standing March</t>
  </si>
  <si>
    <t>https://www.youtube.com/watch?v=2_mHMuzJ4c0&amp;pp=ygURS0IgU3RhbmRpbmcgTWFyY2g%3D</t>
  </si>
  <si>
    <t>Perform standing marches using a kettlebell for leg engagement.</t>
  </si>
  <si>
    <t>Kettlebell Armbar</t>
  </si>
  <si>
    <t>https://www.youtube.com/watch?v=IAByZREjXp8&amp;pp=ygURS2V0dGxlYmVsbCBBcm1iYXI%3D</t>
  </si>
  <si>
    <t>Perform kettlebell armbar exercise for shoulder stability and mobility.</t>
  </si>
  <si>
    <t>Kettlebell Deadlift</t>
  </si>
  <si>
    <t>https://www.youtube.com/watch?v=hinonqqzatk&amp;pp=ygUTS2V0dGxlYmVsbCBEZWFkbGlmdA%3D%3D</t>
  </si>
  <si>
    <t>Engage lower back and legs with kettlebell deadlifts.</t>
  </si>
  <si>
    <t>Kettlebell Swing</t>
  </si>
  <si>
    <t>https://www.youtube.com/watch?v=YSxHifyI6s8&amp;pp=ygUQS2V0dGxlYmVsbCBTd2luZw%3D%3D</t>
  </si>
  <si>
    <t>Engage hips and legs with kettlebell swings exercise.</t>
  </si>
  <si>
    <t>Kettlebell Turkish Get Up</t>
  </si>
  <si>
    <t>https://www.youtube.com/watch?v=sgd8n917Zv0&amp;pp=ygUZS2V0dGxlYmVsbCBUdXJraXNoIEdldCBVcA%3D%3D</t>
  </si>
  <si>
    <t>Perform Turkish get-up exercise using a kettlebell for full-body engagement.</t>
  </si>
  <si>
    <t>Kick Back to Knees to Elbows Both Ways</t>
  </si>
  <si>
    <t>https://www.youtube.com/watch?v=07XM_0jFFk8&amp;pp=ygUmS2ljayBCYWNrIHRvIEtuZWVzIHRvIEVsYm93cyBCb3RoIFdheXM%3D</t>
  </si>
  <si>
    <t>Perform kicks followed by knee-to-elbow movements for core engagement.</t>
  </si>
  <si>
    <t>Knee Hugs</t>
  </si>
  <si>
    <t>https://www.youtube.com/watch?v=eP0DkztNhcs&amp;pp=ygUJS25lZSBIdWdz</t>
  </si>
  <si>
    <t>Engage core and stretch hip muscles with knee hugs exercise.</t>
  </si>
  <si>
    <t>Knee Over Toe Lunge</t>
  </si>
  <si>
    <t>https://www.youtube.com/watch?v=4qPJUSczLcM&amp;pp=ygUTS25lZSBPdmVyIFRvZSBMdW5nZQ%3D%3D</t>
  </si>
  <si>
    <t>Perform lunges while focusing on knee position and engagement.</t>
  </si>
  <si>
    <t>Knee to Chest</t>
  </si>
  <si>
    <t>https://www.youtube.com/watch?v=8kzfXDNq_P8&amp;pp=ygUNS25lZSB0byBDaGVzdA%3D%3D</t>
  </si>
  <si>
    <t>Engage core with knee-to-chest exercise.</t>
  </si>
  <si>
    <t>Kneeling Chops</t>
  </si>
  <si>
    <t>https://www.youtube.com/watch?v=knZfggvbS50&amp;pp=ygUOS25lZWxpbmcgQ2hvcHM%3D</t>
  </si>
  <si>
    <t>Perform kneeling chops to engage core and obliques.</t>
  </si>
  <si>
    <t>Kneeling Cossack Squat</t>
  </si>
  <si>
    <t>https://www.youtube.com/watch?v=W3Ut2oNJ_o8&amp;pp=ygUWS25lZWxpbmcgQ29zc2FjayBTcXVhdA%3D%3D</t>
  </si>
  <si>
    <t>Engage legs and hips with kneeling cossack squat exercise.</t>
  </si>
  <si>
    <t>Kneeling Lat Pulldown</t>
  </si>
  <si>
    <t>https://www.youtube.com/shorts/kPRdPr0usbY</t>
  </si>
  <si>
    <t>Engage back and shoulders with kneeling lat pulldown exercise.</t>
  </si>
  <si>
    <t>Kneeling Lift and Chop</t>
  </si>
  <si>
    <t>https://www.youtube.com/watch?v=knZfggvbS50&amp;pp=ygUWS25lZWxpbmcgTGlmdCBhbmQgQ2hvcA%3D%3D</t>
  </si>
  <si>
    <t>Engage core with lift and chop exercise in a kneeling position.</t>
  </si>
  <si>
    <t>Kneeling MB Chops</t>
  </si>
  <si>
    <t>https://www.youtube.com/watch?v=kzYkGZ3Aa50&amp;pp=ygURS25lZWxpbmcgTUIgQ2hvcHM%3D</t>
  </si>
  <si>
    <t>Perform kneeling medicine ball chops for core and oblique engagement.</t>
  </si>
  <si>
    <t>Kneeling Overhead Press</t>
  </si>
  <si>
    <t>https://www.youtube.com/watch?v=PDWNs3oPCow&amp;pp=ygUXS25lZWxpbmcgT3ZlcmhlYWQgUHJlc3M%3D</t>
  </si>
  <si>
    <t>Engage shoulders with overhead press in a kneeling position.</t>
  </si>
  <si>
    <t>L Sit Circles</t>
  </si>
  <si>
    <t>https://www.youtube.com/shorts/jgKCDwPyW2U</t>
  </si>
  <si>
    <t>Engage core muscles with L sit circles exercise.</t>
  </si>
  <si>
    <t>Landmine Chest Press</t>
  </si>
  <si>
    <t>https://www.youtube.com/watch?v=7i64SnEJv6A&amp;pp=ygUUTGFuZG1pbmUgQ2hlc3QgUHJlc3M%3D</t>
  </si>
  <si>
    <t>Engage chest muscles with landmine chest press exercise.</t>
  </si>
  <si>
    <t>Landmine Goblet Squat</t>
  </si>
  <si>
    <t>https://www.youtube.com/watch?v=JrtJYtUqGHE&amp;pp=ygUVTGFuZG1pbmUgR29ibGV0IFNxdWF0</t>
  </si>
  <si>
    <t>Perform goblet squats using a landmine attachment for added engagement.</t>
  </si>
  <si>
    <t>Landmine Press</t>
  </si>
  <si>
    <t>https://www.youtube.com/watch?v=nDBKgITcI3I&amp;pp=ygUOTGFuZG1pbmUgUHJlc3M%3D</t>
  </si>
  <si>
    <t>Engage upper body with landmine press exercise.</t>
  </si>
  <si>
    <t>Landmine Rainbow</t>
  </si>
  <si>
    <t>https://www.youtube.com/watch?v=911qQuwcEMQ&amp;pp=ygUQTGFuZG1pbmUgUmFpbmJvdw%3D%3D</t>
  </si>
  <si>
    <t>Engage core and upper body with landmine rainbow exercise.</t>
  </si>
  <si>
    <t>Landmine RDL</t>
  </si>
  <si>
    <t>https://www.youtube.com/watch?v=cIYWlhhroVA&amp;pp=ygUMTGFuZG1pbmUgUkRM</t>
  </si>
  <si>
    <t>Perform Romanian deadlifts using a landmine attachment for engagement.</t>
  </si>
  <si>
    <t>Landmine Reverse Lunge</t>
  </si>
  <si>
    <t>https://www.youtube.com/watch?v=s70b_r3heMs&amp;pp=ygUWTGFuZG1pbmUgUmV2ZXJzZSBMdW5nZQ%3D%3D</t>
  </si>
  <si>
    <t>Perform reverse lunges using a landmine attachment for added challenge.</t>
  </si>
  <si>
    <t>Landmine Shoulder Press</t>
  </si>
  <si>
    <t>https://www.youtube.com/watch?v=t9GuiNQo1O4&amp;pp=ygUXTGFuZG1pbmUgU2hvdWxkZXIgUHJlc3M%3D</t>
  </si>
  <si>
    <t>Engage shoulders with landmine shoulder press exercise.</t>
  </si>
  <si>
    <t>Landmine Thruster</t>
  </si>
  <si>
    <t>https://www.youtube.com/watch?v=jLvQenjeus8&amp;pp=ygURTGFuZG1pbmUgVGhydXN0ZXI%3D</t>
  </si>
  <si>
    <t>Press barbell overhead from squat position.</t>
  </si>
  <si>
    <t>Lat and Triceps Stretch</t>
  </si>
  <si>
    <t>https://www.youtube.com/watch?v=izMQh1NeyRU&amp;pp=ygUXTGF0IGFuZCBUcmljZXBzIFN0cmV0Y2g%3D</t>
  </si>
  <si>
    <t>Stretch lats and triceps with arm overhead.</t>
  </si>
  <si>
    <t>Lat Pulldown</t>
  </si>
  <si>
    <t>https://www.youtube.com/watch?v=trZQjegcRx0&amp;pp=ygUMTGF0IFB1bGxkb3du</t>
  </si>
  <si>
    <t>Pull bar to chest, engage lats and back.</t>
  </si>
  <si>
    <t>Lat Pullover</t>
  </si>
  <si>
    <t>https://www.youtube.com/watch?v=KjlphIQd3ok&amp;pp=ygUMTGF0IFB1bGxvdmVy</t>
  </si>
  <si>
    <t>Engage lats and chest with pullover motion.</t>
  </si>
  <si>
    <t>Lat Stretchers</t>
  </si>
  <si>
    <t>https://www.youtube.com/watch?v=s8nr6LyYmtc&amp;pp=ygUTICAgCSBMYXQgU3RyZXRjaGVycw%3D%3D</t>
  </si>
  <si>
    <t>Engage lats with cable pull from overhead.</t>
  </si>
  <si>
    <t>Lateral Lunge</t>
  </si>
  <si>
    <t>https://www.youtube.com/watch?v=gwWv7aPcD88&amp;pp=ygUNTGF0ZXJhbCBMdW5nZQ%3D%3D</t>
  </si>
  <si>
    <t>Step sideways, lunge, and engage legs.</t>
  </si>
  <si>
    <t>Lateral Lunges</t>
  </si>
  <si>
    <t>Lunge sideways, alternating legs.</t>
  </si>
  <si>
    <t>https://www.youtube.com/watch?v=pOmbQuGeHf8&amp;pp=ygUOTGF0ZXJhbCBSYWlzZXM%3D</t>
  </si>
  <si>
    <t>Raise dumbbells to sides, engage shoulders.</t>
  </si>
  <si>
    <t>Lateral to Forward Raise</t>
  </si>
  <si>
    <t>https://www.youtube.com/watch?v=SqTLytmDy_8&amp;pp=ygUYTGF0ZXJhbCB0byBGb3J3YXJkIFJhaXNl</t>
  </si>
  <si>
    <t>Lift dumbbells from side to front.</t>
  </si>
  <si>
    <t>Lateral to Front Raise</t>
  </si>
  <si>
    <t>https://www.youtube.com/watch?v=DOkR3ce3t40&amp;pp=ygUXIExhdGVyYWwgdG8gRnJvbnQgUmFpc2U%3D</t>
  </si>
  <si>
    <t>Lateral Twist (Spinal Lateral Flexion)</t>
  </si>
  <si>
    <t>https://www.youtube.com/watch?v=19w3QByPWLk&amp;pp=ygUmTGF0ZXJhbCBUd2lzdCAoU3BpbmFsIExhdGVyYWwgRmxleGlvbik%3D</t>
  </si>
  <si>
    <t>Twist torso side to side, engage obliques.</t>
  </si>
  <si>
    <t>Leaning Y's</t>
  </si>
  <si>
    <t>https://www.youtube.com/watch?v=lq7eLC30b9w&amp;pp=ygULTGVhbmluZyBZJ3M%3D</t>
  </si>
  <si>
    <t>Lift arms diagonally, engage upper back.</t>
  </si>
  <si>
    <t>Leg Circles</t>
  </si>
  <si>
    <t>https://www.youtube.com/watch?v=pg4WRNkbnjA&amp;pp=ygULTGVnIENpcmNsZXM%3D</t>
  </si>
  <si>
    <t>Lift and circle legs to engage core.</t>
  </si>
  <si>
    <t>Leg Drops</t>
  </si>
  <si>
    <t>https://www.youtube.com/watch?v=vO_kTH4nW7Y&amp;pp=ygUJTGVnIERyb3Bz</t>
  </si>
  <si>
    <t>Lower legs towards floor, engage lower abs.</t>
  </si>
  <si>
    <t>Leg Extension</t>
  </si>
  <si>
    <t>https://www.youtube.com/watch?v=YyvSfVjQeL0&amp;pp=ygUNTGVnIEV4dGVuc2lvbg%3D%3D</t>
  </si>
  <si>
    <t>Extend legs against resistance, engage quads.</t>
  </si>
  <si>
    <t>Leg Lift and Touch Through</t>
  </si>
  <si>
    <t>https://www.youtube.com/shorts/luADNuPcBP8</t>
  </si>
  <si>
    <t>Lift legs, touch hands between them.</t>
  </si>
  <si>
    <t>Leg Lifts</t>
  </si>
  <si>
    <t>https://www.youtube.com/watch?v=JB2oyawG9KI&amp;pp=ygUJTGVnIExpZnRz</t>
  </si>
  <si>
    <t>Raise legs, engage lower abs.</t>
  </si>
  <si>
    <t>Leg Lowers</t>
  </si>
  <si>
    <t>https://www.youtube.com/watch?v=3t9egVYlPcM&amp;pp=ygUKTGVnIExvd2Vycw%3D%3D</t>
  </si>
  <si>
    <t>Leg Press</t>
  </si>
  <si>
    <t>https://www.youtube.com/watch?v=yZmx_Ac3880&amp;pp=ygUJTGVnIFByZXNz</t>
  </si>
  <si>
    <t>Push weight away with legs, engage quads.</t>
  </si>
  <si>
    <t>Leg Raises</t>
  </si>
  <si>
    <t>https://www.youtube.com/watch?v=JB2oyawG9KI&amp;pp=ygUKTGVnIFJhaXNlcw%3D%3D</t>
  </si>
  <si>
    <t>Lift legs, engage lower abs.</t>
  </si>
  <si>
    <t>Long Lever Glute Bridge</t>
  </si>
  <si>
    <t>https://www.youtube.com/shorts/h0CZ3xqgBsMhttps://www.youtube.com/shorts/h0CZ3xqgBsM</t>
  </si>
  <si>
    <t>Bridge hips up, engage glutes.</t>
  </si>
  <si>
    <t>Long-Lever Plank</t>
  </si>
  <si>
    <t>https://www.youtube.com/watch?v=XM96fe7jAXE&amp;pp=ygUQTG9uZy1MZXZlciBQbGFuaw%3D%3D</t>
  </si>
  <si>
    <t>Plank on forearms with arms extended.</t>
  </si>
  <si>
    <t>Low Plank Hip Twists</t>
  </si>
  <si>
    <t>https://www.youtube.com/watch?v=-v2xs6a2JnM&amp;pp=ygUUTG93IFBsYW5rIEhpcCBUd2lzdHM%3D</t>
  </si>
  <si>
    <t>Twist hips from low plank position.</t>
  </si>
  <si>
    <t>Lying Alternating Tricep Extensions</t>
  </si>
  <si>
    <t>https://www.youtube.com/watch?v=OOQiQ_mYWoo&amp;pp=ygUjTHlpbmcgQWx0ZXJuYXRpbmcgVHJpY2VwIEV4dGVuc2lvbnM%3D</t>
  </si>
  <si>
    <t>Extend arms overhead while lying down.</t>
  </si>
  <si>
    <t>Lying Dumbbell Triceps Extension</t>
  </si>
  <si>
    <t>https://www.youtube.com/watch?v=MO_03opCc0g&amp;pp=ygUgTHlpbmcgRHVtYmJlbGwgVHJpY2VwcyBFeHRlbnNpb24%3D</t>
  </si>
  <si>
    <t>Extend dumbbell overhead, engage triceps.</t>
  </si>
  <si>
    <t>Lying Hamstring Curl</t>
  </si>
  <si>
    <t>https://www.youtube.com/watch?v=vl5nUdE9mWM&amp;pp=ygUUTHlpbmcgSGFtc3RyaW5nIEN1cmw%3D</t>
  </si>
  <si>
    <t>Curl legs up towards glutes, engage hamstrings.</t>
  </si>
  <si>
    <t>Machine Ab Crunch</t>
  </si>
  <si>
    <t>https://www.youtube.com/watch?v=fuPFq2EYswE&amp;pp=ygURTWFjaGluZSBBYiBDcnVuY2g%3D</t>
  </si>
  <si>
    <t>Crunch forward on machine, engage core.</t>
  </si>
  <si>
    <t>Machine Assisted Chin-Up</t>
  </si>
  <si>
    <t>https://www.youtube.com/watch?v=y00_rMYk1Oc&amp;pp=ygUYTWFjaGluZSBBc3Npc3RlZCBDaGluLVVw</t>
  </si>
  <si>
    <t>Assist chin-ups with machine, engage upper body.</t>
  </si>
  <si>
    <t>Machine Assisted Dip (Chest Variation)</t>
  </si>
  <si>
    <t>https://www.youtube.com/watch?v=yN6Q1UI_xkE&amp;pp=ygUmTWFjaGluZSBBc3Npc3RlZCBEaXAgKENoZXN0IFZhcmlhdGlvbik%3D</t>
  </si>
  <si>
    <t>Assist dips with machine, target chest.</t>
  </si>
  <si>
    <t>Machine Assisted Dips (Triceps Variation)</t>
  </si>
  <si>
    <t>https://www.youtube.com/watch?v=OjQvJt4sn2Y&amp;pp=ygUoTWFjaGluZSBBc3Npc3RlZCBEaXBzIChUcmljZXBzIFZhcmlhdGlvbg%3D%3D</t>
  </si>
  <si>
    <t>Assist dips with machine, target triceps.</t>
  </si>
  <si>
    <t>Machine Assisted Pull-Up</t>
  </si>
  <si>
    <t>https://www.youtube.com/watch?v=wFj808u2HWU&amp;pp=ygUYTWFjaGluZSBBc3Npc3RlZCBQdWxsLVVw</t>
  </si>
  <si>
    <t>Assist pull-ups with machine, target upper body.</t>
  </si>
  <si>
    <t>Machine Back Cable Row</t>
  </si>
  <si>
    <t>https://www.youtube.com/watch?v=GZbfZ033f74&amp;pp=ygUWTWFjaGluZSBCYWNrIENhYmxlIFJvdw%3D%3D</t>
  </si>
  <si>
    <t>Row cable attachment towards you.</t>
  </si>
  <si>
    <t>Machine Biceps Curl</t>
  </si>
  <si>
    <t>https://www.youtube.com/watch?v=Ja6ZlIDONac&amp;pp=ygUTTWFjaGluZSBCaWNlcHMgQ3VybA%3D%3D</t>
  </si>
  <si>
    <t>Curl cable attachment towards you.</t>
  </si>
  <si>
    <t>Machine Butterfly</t>
  </si>
  <si>
    <t>https://www.youtube.com/watch?v=WpVu2duHnQE&amp;pp=ygURTWFjaGluZSBCdXR0ZXJmbHk%3D</t>
  </si>
  <si>
    <t>Squeeze arms in butterfly motion.</t>
  </si>
  <si>
    <t>Machine Chest Press</t>
  </si>
  <si>
    <t>https://www.youtube.com/watch?v=NwzUje3z0qY&amp;pp=ygUTTWFjaGluZSBDaGVzdCBQcmVzcw%3D%3D</t>
  </si>
  <si>
    <t>Push handles forward, engage chest.</t>
  </si>
  <si>
    <t>Machine Chest Supported Row</t>
  </si>
  <si>
    <t>https://www.youtube.com/watch?v=_FrrYQxA6kc&amp;pp=ygUbTWFjaGluZSBDaGVzdCBTdXBwb3J0ZWQgUm93</t>
  </si>
  <si>
    <t>Pull handles towards you, engage back.</t>
  </si>
  <si>
    <t>Machine Decline Chest Press</t>
  </si>
  <si>
    <t>https://www.youtube.com/watch?v=sZQwv0HzinU&amp;pp=ygUbTWFjaGluZSBEZWNsaW5lIENoZXN0IFByZXNz</t>
  </si>
  <si>
    <t>Push handles downward, engage lower chest.</t>
  </si>
  <si>
    <t>Machine Glute-Ham Raise</t>
  </si>
  <si>
    <t>https://www.youtube.com/watch?v=z15C9UZUbss&amp;pp=ygUXTWFjaGluZSBHbHV0ZS1IYW0gUmFpc2U%3D</t>
  </si>
  <si>
    <t>Engage hamstrings and glutes, lift upper body.</t>
  </si>
  <si>
    <t>Machine Hack Squat</t>
  </si>
  <si>
    <t>https://www.youtube.com/watch?v=LfEhHboTcow&amp;pp=ygUSTWFjaGluZSBIYWNrIFNxdWF0</t>
  </si>
  <si>
    <t>Squat on machine, engage legs.</t>
  </si>
  <si>
    <t>Machine Hip Abduction</t>
  </si>
  <si>
    <t>https://www.youtube.com/watch?v=dL92FqMJqVY&amp;pp=ygUVTWFjaGluZSBIaXAgQWJkdWN0aW9u</t>
  </si>
  <si>
    <t>Push legs apart, engage outer thighs.</t>
  </si>
  <si>
    <t>Machine Hip Adduction</t>
  </si>
  <si>
    <t>https://www.youtube.com/watch?v=GmRSV_n2E_0&amp;pp=ygUVTWFjaGluZSBIaXAgQWRkdWN0aW9u</t>
  </si>
  <si>
    <t>Squeeze legs together, engage inner thighs.</t>
  </si>
  <si>
    <t>Machine Incline Chest Press</t>
  </si>
  <si>
    <t>https://www.youtube.com/watch?v=TrTSvn5-MTk&amp;pp=ygUbTWFjaGluZSBJbmNsaW5lIENoZXN0IFByZXNz</t>
  </si>
  <si>
    <t>Push handles upward, engage upper chest.</t>
  </si>
  <si>
    <t>Machine Iso Row</t>
  </si>
  <si>
    <t>https://www.youtube.com/watch?v=W5UqY9SRhBM&amp;pp=ygUPTWFjaGluZSBJc28gUm93</t>
  </si>
  <si>
    <t>Machine Lat Pull-down</t>
  </si>
  <si>
    <t>https://www.youtube.com/watch?v=kwJeh3QyhVE&amp;pp=ygUVTWFjaGluZSBMYXQgUHVsbC1kb3du</t>
  </si>
  <si>
    <t>Pull bar to chest, engage lats.</t>
  </si>
  <si>
    <t>Machine Lateral Raise</t>
  </si>
  <si>
    <t>https://www.youtube.com/watch?v=0FUpcwj_1z4&amp;pp=ygUVTWFjaGluZSBMYXRlcmFsIFJhaXNl</t>
  </si>
  <si>
    <t>Raise handles sideways, engage shoulders.</t>
  </si>
  <si>
    <t>Machine Laying Leg Curl</t>
  </si>
  <si>
    <t>https://www.youtube.com/watch?v=5xR8tvg4-yM&amp;pp=ygUXTWFjaGluZSBMYXlpbmcgTGVnIEN1cmw%3D</t>
  </si>
  <si>
    <t>Machine Laying Leg Press</t>
  </si>
  <si>
    <t>https://www.youtube.com/watch?v=VFk3RzndUEc&amp;pp=ygUYTWFjaGluZSBMYXlpbmcgTGVnIFByZXNz</t>
  </si>
  <si>
    <t>Machine Leg Curl (Single)</t>
  </si>
  <si>
    <t>https://www.youtube.com/watch?v=h5NievMGthk&amp;pp=ygUZTWFjaGluZSBMZWcgQ3VybCAoU2luZ2xlKQ%3D%3D</t>
  </si>
  <si>
    <t>Curl leg up towards glutes, engage hamstrings.</t>
  </si>
  <si>
    <t>Machine Leg Press</t>
  </si>
  <si>
    <t>https://www.youtube.com/watch?v=IZxyjW7MPJQ&amp;pp=ygURTWFjaGluZSBMZWcgUHJlc3M%3D</t>
  </si>
  <si>
    <t>Machine Pec Deck Chest Fly</t>
  </si>
  <si>
    <t>https://www.youtube.com/watch?v=eGjt4lk6g34&amp;pp=ygUaTWFjaGluZSBQZWMgRGVjayBDaGVzdCBGbHk%3D</t>
  </si>
  <si>
    <t>Squeeze arms together in front, engage chest.</t>
  </si>
  <si>
    <t>Machine Pec Deck Reverse Fly</t>
  </si>
  <si>
    <t>https://www.youtube.com/watch?v=6cHY60y7QRU&amp;pp=ygUcTWFjaGluZSBQZWMgRGVjayBSZXZlcnNlIEZseQ%3D%3D</t>
  </si>
  <si>
    <t>Squeeze arms apart behind you, engage back.</t>
  </si>
  <si>
    <t>Machine Preacher Biceps Curl</t>
  </si>
  <si>
    <t>https://www.youtube.com/watch?v=Ja6ZlIDONac&amp;pp=ygUcTWFjaGluZSBQcmVhY2hlciBCaWNlcHMgQ3VybA%3D%3D</t>
  </si>
  <si>
    <t>Curl bar towards you, engage biceps.</t>
  </si>
  <si>
    <t>Machine Reverse Fly</t>
  </si>
  <si>
    <t>https://www.youtube.com/watch?v=rtkvodbZfGY&amp;pp=ygUTTWFjaGluZSBSZXZlcnNlIEZseQ%3D%3D</t>
  </si>
  <si>
    <t>Machine Reverse Hyperextension</t>
  </si>
  <si>
    <t>https://www.youtube.com/watch?v=kTf-fU5Tab8&amp;pp=ygUeTWFjaGluZSBSZXZlcnNlIEh5cGVyZXh0ZW5zaW9u</t>
  </si>
  <si>
    <t>Lower body down, engage lower back.</t>
  </si>
  <si>
    <t>Machine Seated Leg Curl</t>
  </si>
  <si>
    <t>https://www.youtube.com/watch?v=fK0uZ3KRZRI&amp;pp=ygUXTWFjaGluZSBTZWF0ZWQgTGVnIEN1cmw%3D</t>
  </si>
  <si>
    <t>Machine Shoulder Press</t>
  </si>
  <si>
    <t>https://www.youtube.com/watch?v=3R14MnZbcpw&amp;pp=ygUbICAgCSBNYWNoaW5lIFNob3VsZGVyIFByZXNz</t>
  </si>
  <si>
    <t>Push handles upward, engage shoulders.</t>
  </si>
  <si>
    <t>Machine Shrug</t>
  </si>
  <si>
    <t>https://www.youtube.com/watch?v=3FG0onSF_n4&amp;pp=ygUNTWFjaGluZSBTaHJ1Zw%3D%3D</t>
  </si>
  <si>
    <t>Lift handles with shoulders, engage traps.</t>
  </si>
  <si>
    <t>Machine Single-Leg Press</t>
  </si>
  <si>
    <t>https://www.youtube.com/watch?v=ZYDTJaAM-gE&amp;pp=ygUYTWFjaGluZSBTaW5nbGUtTGVnIFByZXNz</t>
  </si>
  <si>
    <t>Push weight away with one leg, engage quads.</t>
  </si>
  <si>
    <t>Machine Standing Leg Curl</t>
  </si>
  <si>
    <t>https://www.youtube.com/shorts/P2KTb8zyqsM</t>
  </si>
  <si>
    <t>Machine Tricep Dips</t>
  </si>
  <si>
    <t>https://www.youtube.com/watch?v=IsYLsO16y7g&amp;pp=ygUTTWFjaGluZSBUcmljZXAgRGlwcw%3D%3D</t>
  </si>
  <si>
    <t>Lower and lift weight with triceps, engage arms.</t>
  </si>
  <si>
    <t>Machine Tricep Pushdown</t>
  </si>
  <si>
    <t>https://www.youtube.com/watch?v=OChuGyCSC7U&amp;pp=ygUXTWFjaGluZSBUcmljZXAgUHVzaGRvd24%3D</t>
  </si>
  <si>
    <t>Push down bar, engage triceps.</t>
  </si>
  <si>
    <t>Machine Triceps Extension</t>
  </si>
  <si>
    <t>https://www.youtube.com/watch?v=Bx8ga1BLHLE&amp;pp=ygUZTWFjaGluZSBUcmljZXBzIEV4dGVuc2lvbg%3D%3D</t>
  </si>
  <si>
    <t>Extend arms against resistance, engage triceps.</t>
  </si>
  <si>
    <t>Machine Upright Row</t>
  </si>
  <si>
    <t>https://www.youtube.com/watch?v=QIpa-9dtkgA&amp;pp=ygUTTWFjaGluZSBVcHJpZ2h0IFJvdw%3D%3D</t>
  </si>
  <si>
    <t>Lift handles towards chin, engage shoulders.</t>
  </si>
  <si>
    <t>Marching Bridge</t>
  </si>
  <si>
    <t>https://www.youtube.com/watch?v=IxDVTDKDxSU&amp;pp=ygUPTWFyY2hpbmcgQnJpZGdl</t>
  </si>
  <si>
    <t>Bridge hips up while lifting legs.</t>
  </si>
  <si>
    <t>Marching Glute Bridge with Hold</t>
  </si>
  <si>
    <t>https://www.youtube.com/watch?v=4LQUPybxCnI&amp;pp=ygUfTWFyY2hpbmcgR2x1dGUgQnJpZGdlIHdpdGggSG9sZA%3D%3D</t>
  </si>
  <si>
    <t>Bridge hips up, lift and hold one leg.</t>
  </si>
  <si>
    <t>Meadows Row</t>
  </si>
  <si>
    <t>https://www.youtube.com/watch?v=sRRQgK8Fm44&amp;pp=ygULTWVhZG93cyBSb3c%3D</t>
  </si>
  <si>
    <t>Row barbell towards you, engage back.</t>
  </si>
  <si>
    <t>Medicine Ball Wall Slam</t>
  </si>
  <si>
    <t>https://www.youtube.com/watch?v=jpM5l0HVtE8&amp;pp=ygUXTWVkaWNpbmUgQmFsbCBXYWxsIFNsYW0%3D</t>
  </si>
  <si>
    <t>Slam ball against wall, engage core.</t>
  </si>
  <si>
    <t>Military Crunch</t>
  </si>
  <si>
    <t>https://www.youtube.com/watch?v=5qS_q9FaeC4&amp;pp=ygUPTWlsaXRhcnkgQ3J1bmNo</t>
  </si>
  <si>
    <t>Crunch forward, engage upper abs.</t>
  </si>
  <si>
    <t>Military Press</t>
  </si>
  <si>
    <t>https://www.youtube.com/watch?v=2yjwXTZQDDI&amp;pp=ygUOTWlsaXRhcnkgUHJlc3M%3D</t>
  </si>
  <si>
    <t>Press barbell overhead, engage shoulders.</t>
  </si>
  <si>
    <t>Modified 21's</t>
  </si>
  <si>
    <t>https://www.youtube.com/watch?v=-5BWIpgacL4&amp;pp=ygUNTW9kaWZpZWQgMjEncw%3D%3D</t>
  </si>
  <si>
    <t>Curl barbell in three ranges, engage biceps.</t>
  </si>
  <si>
    <t>Mountain Climber</t>
  </si>
  <si>
    <t>Cardio, Core</t>
  </si>
  <si>
    <t>https://www.youtube.com/watch?v=cnyTQDSE884&amp;pp=ygUQTW91bnRhaW4gQ2xpbWJlcg%3D%3D</t>
  </si>
  <si>
    <t>Alternate legs in plank position, engage core.</t>
  </si>
  <si>
    <t>Narrow Front Squats</t>
  </si>
  <si>
    <t>https://www.youtube.com/watch?v=U7Y-bY4bZj0&amp;pp=ygUTTmFycm93IEZyb250IFNxdWF0cw%3D%3D</t>
  </si>
  <si>
    <t>Squat with feet close together, engage quads.</t>
  </si>
  <si>
    <t>Neck Side Stretch</t>
  </si>
  <si>
    <t>https://www.youtube.com/watch?v=54y0JAT46vE&amp;pp=ygURTmVjayBTaWRlIFN0cmV0Y2g%3D</t>
  </si>
  <si>
    <t>Stretch neck to side.</t>
  </si>
  <si>
    <t>Negative Pull Ups</t>
  </si>
  <si>
    <t>https://www.youtube.com/watch?v=gbPURTSxQLY&amp;pp=ygURTmVnYXRpdmUgUHVsbCBVcHM%3D</t>
  </si>
  <si>
    <t>Lower body slowly from pull-up position.</t>
  </si>
  <si>
    <t>Nordic Curls</t>
  </si>
  <si>
    <t>https://www.youtube.com/watch?v=6NCN6kOagfY&amp;pp=ygUMTm9yZGljIEN1cmxz</t>
  </si>
  <si>
    <t>Curl body upwards, engage hamstrings.</t>
  </si>
  <si>
    <t>Nordic Hamstring Curl</t>
  </si>
  <si>
    <t>Nordic Hamstring Curls (Barbell)</t>
  </si>
  <si>
    <t>https://www.youtube.com/shorts/flNgfYGvleU</t>
  </si>
  <si>
    <t>Oblique Jump Lunges</t>
  </si>
  <si>
    <t>https://www.youtube.com/shorts/qdDbwIj-8ok</t>
  </si>
  <si>
    <t>Lunge and jump, engaging obliques.</t>
  </si>
  <si>
    <t>Oblique Mountain Climbers</t>
  </si>
  <si>
    <t>https://www.youtube.com/watch?v=6D-rpfVuzA0&amp;pp=ygUZT2JsaXF1ZSBNb3VudGFpbiBDbGltYmVycw%3D%3D</t>
  </si>
  <si>
    <t>Plank and twist knees towards opposite elbow.</t>
  </si>
  <si>
    <t>Offset Dumbbell Cross-Over Step-Up</t>
  </si>
  <si>
    <t>https://www.youtube.com/watch?v=68yrP2-wIzA&amp;pp=ygUiT2Zmc2V0IER1bWJiZWxsIENyb3NzLU92ZXIgU3RlcC1VcA%3D%3D</t>
  </si>
  <si>
    <t>Step up with offset dumbbell, engage legs.</t>
  </si>
  <si>
    <t>Offset Dumbbell Reverse Lunge</t>
  </si>
  <si>
    <t>https://www.youtube.com/shorts/aFsk57XmgHY</t>
  </si>
  <si>
    <t>Lunge with offset dumbbell, engage legs.</t>
  </si>
  <si>
    <t>Offset Dumbbell Reverse Lunge From Deficit</t>
  </si>
  <si>
    <t>https://www.youtube.com/watch?v=qidn3D01muY&amp;pp=ygUqT2Zmc2V0IER1bWJiZWxsIFJldmVyc2UgTHVuZ2UgRnJvbSBEZWZpY2l0</t>
  </si>
  <si>
    <t>Lunge with deficit and offset dumbbell.</t>
  </si>
  <si>
    <t>Offset Dumbbell Reverse Lunge to Romanian Deadlift</t>
  </si>
  <si>
    <t>Legs, Hamstrings</t>
  </si>
  <si>
    <t>https://www.youtube.com/watch?v=xeNEeJ7IqKQ&amp;pp=ygUyT2Zmc2V0IER1bWJiZWxsIFJldmVyc2UgTHVuZ2UgdG8gUm9tYW5pYW4gRGVhZGxpZnQ%3D</t>
  </si>
  <si>
    <t>Lunge then Romanian deadlift with offset dumbbell.</t>
  </si>
  <si>
    <t>Offset Dumbbell Split Squat</t>
  </si>
  <si>
    <t>https://www.youtube.com/watch?v=fynqcP1g-vw&amp;pp=ygUbT2Zmc2V0IER1bWJiZWxsIFNwbGl0IFNxdWF0</t>
  </si>
  <si>
    <t>Split squat with offset dumbbell, engage legs.</t>
  </si>
  <si>
    <t>Offset Dumbbell Step-Up</t>
  </si>
  <si>
    <t>https://www.youtube.com/watch?v=pEFBMrM4818&amp;pp=ygUXT2Zmc2V0IER1bWJiZWxsIFN0ZXAtVXA%3D</t>
  </si>
  <si>
    <t>Offset Goblet Squat</t>
  </si>
  <si>
    <t>https://www.youtube.com/watch?v=c636wmM2SV0&amp;pp=ygUTT2Zmc2V0IEdvYmxldCBTcXVhdA%3D%3D</t>
  </si>
  <si>
    <t>Goblet squat with offset weight, engage legs.</t>
  </si>
  <si>
    <t>One Foot Elevated Front Squat</t>
  </si>
  <si>
    <t>https://www.youtube.com/watch?v=OFmW8Re5Zos&amp;pp=ygUeT25lIEZvb3QgRWxldmF0ZWQgRnJvbnQgU3F1YXRc</t>
  </si>
  <si>
    <t>Squat with one foot elevated, engage quads.</t>
  </si>
  <si>
    <t>Outward DB Bicep Curls</t>
  </si>
  <si>
    <t>https://www.youtube.com/watch?v=BNagnogKP5A&amp;pp=ygUWT3V0d2FyZCBEQiBCaWNlcCBDdXJscw%3D%3D</t>
  </si>
  <si>
    <t>Curl dumbbells outwards, engage biceps.</t>
  </si>
  <si>
    <t>Overhead Sit Ups</t>
  </si>
  <si>
    <t>https://www.youtube.com/watch?v=rBLLfvmNIIs&amp;pp=ygUQT3ZlcmhlYWQgU2l0IFVwcw%3D%3D</t>
  </si>
  <si>
    <t>Hold weight overhead while sitting up.</t>
  </si>
  <si>
    <t>Overhead Squat</t>
  </si>
  <si>
    <t>Legs, Core</t>
  </si>
  <si>
    <t>https://www.youtube.com/watch?v=pn8mqlG0nkE&amp;pp=ygUOT3ZlcmhlYWQgU3F1YXQ%3D</t>
  </si>
  <si>
    <t>Squat with weight overhead, engage legs.</t>
  </si>
  <si>
    <t>Overhead Tricep Extension</t>
  </si>
  <si>
    <t>https://www.youtube.com/shorts/Q3bO1Fh4734</t>
  </si>
  <si>
    <t>Extend weight overhead, engage triceps.</t>
  </si>
  <si>
    <t>Overhead Tricep Extension (DB)</t>
  </si>
  <si>
    <t>https://www.youtube.com/shorts/8FNGBJUHfsA</t>
  </si>
  <si>
    <t>Pallof Press</t>
  </si>
  <si>
    <t>https://www.youtube.com/watch?v=ZDAW6zLajKU&amp;pp=ygUMUGFsbG9mIFByZXNz</t>
  </si>
  <si>
    <t>Press cable away from body, engage core.</t>
  </si>
  <si>
    <t>Palloff Press Horizontal Circles</t>
  </si>
  <si>
    <t>https://www.youtube.com/watch?v=kqZVLzPrgnQ&amp;pp=ygUgUGFsbG9mZiBQcmVzcyBIb3Jpem9udGFsIENpcmNsZXM%3D</t>
  </si>
  <si>
    <t>Press cable away and make circles, engage core.</t>
  </si>
  <si>
    <t>Palm Up Raises</t>
  </si>
  <si>
    <t>https://www.youtube.com/watch?v=2DtsvvK2Vng</t>
  </si>
  <si>
    <t>Raise dumbbells with palms facing up, engage shoulders.</t>
  </si>
  <si>
    <t>Partner Squat</t>
  </si>
  <si>
    <t>Pec Minor Broomstick Mobilization</t>
  </si>
  <si>
    <t>https://www.youtube.com/watch?v=IbATWRMM58A&amp;pp=ygUhUGVjIE1pbm9yIEJyb29tc3RpY2sgTW9iaWxpemF0aW9u</t>
  </si>
  <si>
    <t>Stretch pec minor muscles with broomstick.</t>
  </si>
  <si>
    <t>Pec Mobilization With Lacrosse Ball</t>
  </si>
  <si>
    <t>https://www.youtube.com/watch?v=FnTyO4LQxj4&amp;pp=ygUjUGVjIE1vYmlsaXphdGlvbiBXaXRoIExhY3Jvc3NlIEJhbGw%3D</t>
  </si>
  <si>
    <t>Mobilize and release tension in pec muscles.</t>
  </si>
  <si>
    <t>Pelvic Thrusts</t>
  </si>
  <si>
    <t>https://www.youtube.com/watch?v=OWC4YK_mhF8&amp;pp=ygUOUGVsdmljIFRocnVzdHM%3D</t>
  </si>
  <si>
    <t>Thrust hips upwards, engage glutes.</t>
  </si>
  <si>
    <t>Pendlay Row</t>
  </si>
  <si>
    <t>https://www.youtube.com/watch?v=h4nkoayPFWw&amp;pp=ygULUGVuZGxheSBSb3c%3D</t>
  </si>
  <si>
    <t>Pendulum Squat</t>
  </si>
  <si>
    <t>https://www.youtube.com/watch?v=wc2t62qiqAI&amp;pp=ygUOUGVuZHVsdW0gU3F1YXQ%3D</t>
  </si>
  <si>
    <t>Squat with pendulum motion, engage legs.</t>
  </si>
  <si>
    <t>Pigeon Stretch</t>
  </si>
  <si>
    <t>https://www.youtube.com/watch?v=op-eDU9eNqM&amp;pp=ygUOUGlnZW9uIFN0cmV0Y2g%3D</t>
  </si>
  <si>
    <t>Stretch hip and glutes by placing one leg across body.</t>
  </si>
  <si>
    <t>Pike Push-Up</t>
  </si>
  <si>
    <t>https://www.youtube.com/watch?v=66x0qQiJ-MA&amp;pp=ygUMUGlrZSBQdXNoLVVw</t>
  </si>
  <si>
    <t>Push-up with hips lifted, engage shoulders.</t>
  </si>
  <si>
    <t>Piriformis Mobilization</t>
  </si>
  <si>
    <t>https://www.youtube.com/shorts/1GhiPpQvBCA</t>
  </si>
  <si>
    <t>Mobilize piriformis muscle with controlled movement.</t>
  </si>
  <si>
    <t>Pistol Squat</t>
  </si>
  <si>
    <t>https://www.youtube.com/watch?v=vq5-vdgJc0I&amp;pp=ygUMUGlzdG9sIFNxdWF0</t>
  </si>
  <si>
    <t>Single-leg squat, engage leg muscles.</t>
  </si>
  <si>
    <t>Plank</t>
  </si>
  <si>
    <t>https://www.youtube.com/watch?v=yeKv5oX_6GY&amp;pp=ygUFUGxhbms%3D</t>
  </si>
  <si>
    <t>Hold push-up position, engage core.</t>
  </si>
  <si>
    <t>Plank Alternating Arm/Leg Extensions</t>
  </si>
  <si>
    <t>https://www.youtube.com/watch?v=r8aHO-GlPcE&amp;pp=ygUkUGxhbmsgQWx0ZXJuYXRpbmcgQXJtL0xlZyBFeHRlbnNpb25z</t>
  </si>
  <si>
    <t>Extend opposite arm and leg while planking.</t>
  </si>
  <si>
    <t>Plank Alternating Reaches</t>
  </si>
  <si>
    <t>https://www.youtube.com/watch?v=5vGaSkJArwI&amp;pp=ygUZUGxhbmsgQWx0ZXJuYXRpbmcgUmVhY2hlcw%3D%3D</t>
  </si>
  <si>
    <t>Reach arms forward and out while in plank.</t>
  </si>
  <si>
    <t>Plank Arm Abduction</t>
  </si>
  <si>
    <t>Core, Shoulders</t>
  </si>
  <si>
    <t>Extend arm sideways from plank position.</t>
  </si>
  <si>
    <t>Plank Arm Extensions</t>
  </si>
  <si>
    <t>https://www.youtube.com/watch?v=iz55LbMVHOM&amp;pp=ygUUUGxhbmsgQXJtIEV4dGVuc2lvbnM%3D</t>
  </si>
  <si>
    <t>Extend arms forward from plank position.</t>
  </si>
  <si>
    <t>Plank Arm March</t>
  </si>
  <si>
    <t>https://www.youtube.com/watch?v=GbsgMtyN9d4&amp;pp=ygUPUGxhbmsgQXJtIE1hcmNo</t>
  </si>
  <si>
    <t>March arms up and down while planking.</t>
  </si>
  <si>
    <t>Plank Circles</t>
  </si>
  <si>
    <t>https://www.youtube.com/watch?v=hji_3KGD3uQ&amp;pp=ygUNUGxhbmsgQ2lyY2xlcw%3D%3D</t>
  </si>
  <si>
    <t>Make small circular motion with hips in plank.</t>
  </si>
  <si>
    <t>Plank Elbow-to-Knee Touches</t>
  </si>
  <si>
    <t>https://www.youtube.com/watch?v=vr1T-fTdll0&amp;pp=ygUbUGxhbmsgRWxib3ctdG8tS25lZSBUb3VjaGVz</t>
  </si>
  <si>
    <t>Touch opposite elbow and knee while planking.</t>
  </si>
  <si>
    <t>Plank Hold Walk-Out</t>
  </si>
  <si>
    <t>https://www.youtube.com/watch?v=Nbg-aizDWnQ&amp;pp=ygUTUGxhbmsgSG9sZCBXYWxrLU91dA%3D%3D</t>
  </si>
  <si>
    <t>Walk hands forward while holding plank position.</t>
  </si>
  <si>
    <t>Plank Hops In-and-Out</t>
  </si>
  <si>
    <t>https://www.youtube.com/watch?v=m6WSIkhYQyY&amp;pp=ygUVUGxhbmsgSG9wcyBJbi1hbmQtT3V0</t>
  </si>
  <si>
    <t>Jump legs in and out while holding plank.</t>
  </si>
  <si>
    <t>Plank Jack with Shoulder Taps</t>
  </si>
  <si>
    <t>https://www.youtube.com/watch?v=zruJUdSkHsA&amp;pp=ygUdUGxhbmsgSmFjayB3aXRoIFNob3VsZGVyIFRhcHM%3D</t>
  </si>
  <si>
    <t>Do plank jacks and tap shoulders with opposite hand.</t>
  </si>
  <si>
    <t>Plank Jacks</t>
  </si>
  <si>
    <t>https://www.youtube.com/watch?v=8Do3ssZ23Mc&amp;pp=ygULUGxhbmsgSmFja3M%3D</t>
  </si>
  <si>
    <t>Plank Jacks on Elbows</t>
  </si>
  <si>
    <t>https://www.youtube.com/watch?v=ruU6dooUL_g&amp;pp=ygUVUGxhbmsgSmFja3Mgb24gRWxib3dz</t>
  </si>
  <si>
    <t>Elbow plank with jumping legs in and out.</t>
  </si>
  <si>
    <t>Plank Knees to Elbow</t>
  </si>
  <si>
    <t>https://www.youtube.com/watch?v=pI7uWJXcfPE&amp;pp=ygUUUGxhbmsgS25lZXMgdG8gRWxib3c%3D</t>
  </si>
  <si>
    <t>Bring knees to elbows while in plank position.</t>
  </si>
  <si>
    <t>Plank Opposite Toe Touch</t>
  </si>
  <si>
    <t>https://www.youtube.com/watch?v=XprFkq1V9I0&amp;pp=ygUZIFBsYW5rIE9wcG9zaXRlIFRvZSBUb3VjaA%3D%3D</t>
  </si>
  <si>
    <t>Touch opposite hand to toe while in plank.</t>
  </si>
  <si>
    <t>Plank Pop Ups</t>
  </si>
  <si>
    <t>https://www.youtube.com/watch?v=vGwFp2B-AnU&amp;pp=ygUNUGxhbmsgUG9wIFVwcw%3D%3D</t>
  </si>
  <si>
    <t>Push-up to plank, then pop hips upward.</t>
  </si>
  <si>
    <t>Plank Pulls</t>
  </si>
  <si>
    <t>Core, Back</t>
  </si>
  <si>
    <t>https://www.youtube.com/watch?v=aS8FD3Lblak&amp;pp=ygULUGxhbmsgUHVsbHM%3D</t>
  </si>
  <si>
    <t>Pull hands towards feet while holding plank.</t>
  </si>
  <si>
    <t>Plank Row</t>
  </si>
  <si>
    <t>https://www.youtube.com/watch?v=Gtc_Ns3qYYo&amp;pp=ygUOICAgCSBQbGFuayBSb3c%3D</t>
  </si>
  <si>
    <t>Row weight while in plank position.</t>
  </si>
  <si>
    <t>Plank Row Rotation</t>
  </si>
  <si>
    <t>https://www.youtube.com/watch?v=sRHzrF357H4&amp;pp=ygUSUGxhbmsgUm93IFJvdGF0aW9u</t>
  </si>
  <si>
    <t>Row and rotate upper body, engage core.</t>
  </si>
  <si>
    <t>Plank Row to Tricep Extension</t>
  </si>
  <si>
    <t>Core, Back, Triceps</t>
  </si>
  <si>
    <t>https://www.youtube.com/watch?v=vI7qyY2HVFY&amp;pp=ygUdUGxhbmsgUm93IHRvIFRyaWNlcCBFeHRlbnNpb24%3D</t>
  </si>
  <si>
    <t>Row and extend arms back, engage triceps.</t>
  </si>
  <si>
    <t>Plank Shoulder and Knee Taps</t>
  </si>
  <si>
    <t>https://www.youtube.com/shorts/9_IVZekYrgo</t>
  </si>
  <si>
    <t>Tap shoulder and knee alternately in plank.</t>
  </si>
  <si>
    <t>Plank Shoulder Taps</t>
  </si>
  <si>
    <t>https://www.youtube.com/watch?v=C6At19Q9i2Q&amp;pp=ygUbUGxhbmsgU2hvdWxkZXIgVGFwIHRvIFJhaXNl</t>
  </si>
  <si>
    <t>Tap shoulders alternately while in plank.</t>
  </si>
  <si>
    <t>Plank to Downward Dog</t>
  </si>
  <si>
    <t>https://www.youtube.com/watch?v=5FcS9IOWpSo&amp;pp=ygUVUGxhbmsgdG8gRG93bndhcmQgRG9n</t>
  </si>
  <si>
    <t>Transition from plank to downward dog.</t>
  </si>
  <si>
    <t>Plank Tricep Extension</t>
  </si>
  <si>
    <t>Core, Triceps</t>
  </si>
  <si>
    <t>https://www.youtube.com/watch?v=VYgVTinbx_A&amp;pp=ygUWUGxhbmsgVHJpY2VwIEV4dGVuc2lvbg%3D%3D</t>
  </si>
  <si>
    <t>Extend arms back while in plank, engage triceps.</t>
  </si>
  <si>
    <t>Plank Walk Outs</t>
  </si>
  <si>
    <t>https://www.youtube.com/watch?v=99DDQJJQ68c&amp;pp=ygUPUGxhbmsgV2FsayBPdXRz</t>
  </si>
  <si>
    <t>Walk hands forward and backward while planking.</t>
  </si>
  <si>
    <t>Plank with Alternating Rows</t>
  </si>
  <si>
    <t>https://www.youtube.com/watch?v=rSc1pmDEhZg&amp;pp=ygUbUGxhbmsgd2l0aCBBbHRlcm5hdGluZyBSb3dz</t>
  </si>
  <si>
    <t>Row weights in plank position with alternating arms.</t>
  </si>
  <si>
    <t>Plank-ups</t>
  </si>
  <si>
    <t>https://www.youtube.com/watch?v=9667qmn8zdY&amp;pp=ygUJUGxhbmstdXBz</t>
  </si>
  <si>
    <t>Push up to plank position, engage core.</t>
  </si>
  <si>
    <t>Plate Curls</t>
  </si>
  <si>
    <t>https://www.youtube.com/watch?v=-DWJLKoHFK8&amp;pp=ygULUGxhdGUgQ3VybHM%3D</t>
  </si>
  <si>
    <t>Curl weight plate, engage biceps.</t>
  </si>
  <si>
    <t>Plate Front Raise</t>
  </si>
  <si>
    <t>https://www.youtube.com/shorts/YGF-RfaSyDM</t>
  </si>
  <si>
    <t>Raise weight plate in front, engage shoulders.</t>
  </si>
  <si>
    <t>Plate Squat</t>
  </si>
  <si>
    <t>https://www.youtube.com/watch?v=PKIiYknNvhw&amp;pp=ygUQICAgCSBQbGF0ZSBTcXVhdA%3D%3D</t>
  </si>
  <si>
    <t>Hold weight plate while squatting.</t>
  </si>
  <si>
    <t>Platform Pushups</t>
  </si>
  <si>
    <t>https://www.youtube.com/watch?v=4oN1hd6pJW0&amp;pp=ygUQUGxhdGZvcm0gUHVzaHVwcw%3D%3D</t>
  </si>
  <si>
    <t>Push-ups with hands on elevated platform.</t>
  </si>
  <si>
    <t>Platform Sumo Squat</t>
  </si>
  <si>
    <t>https://www.youtube.com/watch?v=4eDJa5MnAmY&amp;pp=ygUTUGxhdGZvcm0gU3VtbyBTcXVhdA%3D%3D</t>
  </si>
  <si>
    <t>Squat with wide stance, engage legs.</t>
  </si>
  <si>
    <t>Plyo Push Up</t>
  </si>
  <si>
    <t>Chest, Shoulders, Triceps</t>
  </si>
  <si>
    <t>https://www.youtube.com/watch?v=Y-uF4F3mQIs&amp;pp=ygUMUGx5byBQdXNoIFVw</t>
  </si>
  <si>
    <t>Explosive push-up with clap, engage chest.</t>
  </si>
  <si>
    <t>Popcorn Squats</t>
  </si>
  <si>
    <t>https://www.youtube.com/watch?v=yryqhGC01G4&amp;pp=ygUOUG9wY29ybiBTcXVhdHM%3D</t>
  </si>
  <si>
    <t>Squat and jump, engaging legs.</t>
  </si>
  <si>
    <t>Preacher Curls</t>
  </si>
  <si>
    <t>https://www.youtube.com/watch?v=vngli9UR6Hw&amp;pp=ygUOUHJlYWNoZXIgQ3VybHM%3D</t>
  </si>
  <si>
    <t>Curl bar on preacher bench, engage biceps.</t>
  </si>
  <si>
    <t>Prisoner Squat</t>
  </si>
  <si>
    <t>https://www.youtube.com/watch?v=97p3_bDkPUE&amp;pp=ygUOUHJpc29uZXIgU3F1YXQ%3D</t>
  </si>
  <si>
    <t>Squat with hands behind head, engage legs.</t>
  </si>
  <si>
    <t>Progression/Combo of World's Greatest Stretch and Crab</t>
  </si>
  <si>
    <t>Mobility, Core</t>
  </si>
  <si>
    <t>https://www.youtube.com/watch?v=l2PBwCr7Pio&amp;pp=ygU2UHJvZ3Jlc3Npb24vQ29tYm8gb2YgV29ybGQncyBHcmVhdGVzdCBTdHJldGNoIGFuZCBDcmFi</t>
  </si>
  <si>
    <t>Combine stretches and bodyweight movements.</t>
  </si>
  <si>
    <t>Pronated-Grip Seated Band Row</t>
  </si>
  <si>
    <t>https://www.youtube.com/watch?v=sa0NejgxKbc&amp;pp=ygUdUHJvbmF0ZWQtR3JpcCBTZWF0ZWQgQmFuZCBSb3c%3D</t>
  </si>
  <si>
    <t>Row resistance band with pronated grip.</t>
  </si>
  <si>
    <t>Pronated-Grip Seated Cable Row</t>
  </si>
  <si>
    <t>https://www.youtube.com/watch?v=FSoUijeznsM&amp;pp=ygUeUHJvbmF0ZWQtR3JpcCBTZWF0ZWQgQ2FibGUgUm93</t>
  </si>
  <si>
    <t>Row cable attachment with pronated grip.</t>
  </si>
  <si>
    <t>Prone Dynamic Spinal Twist</t>
  </si>
  <si>
    <t>Core, Spinal Mobility</t>
  </si>
  <si>
    <t>https://www.youtube.com/watch?v=mzCI-LFFK3A&amp;pp=ygUaUHJvbmUgRHluYW1pYyBTcGluYWwgVHdpc3Q%3D</t>
  </si>
  <si>
    <t>Twist spine while lying prone, engage core.</t>
  </si>
  <si>
    <t>Prone Hip External Rotation</t>
  </si>
  <si>
    <t>Hip, Glutes</t>
  </si>
  <si>
    <t>https://www.youtube.com/watch?v=Kbx5soJUlvM&amp;pp=ygUbUHJvbmUgSGlwIEV4dGVybmFsIFJvdGF0aW9u</t>
  </si>
  <si>
    <t>Rotate hip while lying prone, engage hip muscles.</t>
  </si>
  <si>
    <t>Prone T Raise</t>
  </si>
  <si>
    <t>https://www.youtube.com/watch?v=rKVuKuR4SA4&amp;pp=ygUNUHJvbmUgVCBSYWlzZQ%3D%3D</t>
  </si>
  <si>
    <t>Lift arms in T position while lying prone.</t>
  </si>
  <si>
    <t>Prone Y Raise</t>
  </si>
  <si>
    <t>Lift arms in Y position while lying prone.</t>
  </si>
  <si>
    <t>Prone YTI</t>
  </si>
  <si>
    <t>Perform Y, T, I motion with arms prone.</t>
  </si>
  <si>
    <t>https://www.youtube.com/watch?v=eGo4IYlbE5g&amp;pp=ygUIUHVsbCBVcHM%3D</t>
  </si>
  <si>
    <t>Lift body weight up on bar, engage upper body.</t>
  </si>
  <si>
    <t>Pull-Up With Iso</t>
  </si>
  <si>
    <t>https://www.youtube.com/watch?v=lTblcfblSlg&amp;pp=ygUVICAgCSBQdWxsLVVwIFdpdGggSXNv</t>
  </si>
  <si>
    <t>Perform pull-up with isometric holds.</t>
  </si>
  <si>
    <t>Pulse Jump Squat</t>
  </si>
  <si>
    <t>https://www.youtube.com/watch?v=FCmQN5bj7dY&amp;pp=ygUQUHVsc2UgSnVtcCBTcXVhdA%3D%3D</t>
  </si>
  <si>
    <t>Jump and pulse in squat position.</t>
  </si>
  <si>
    <t>Pulse Squats</t>
  </si>
  <si>
    <t>https://www.youtube.com/watch?v=r8NaWdh8jyE&amp;pp=ygUMUHVsc2UgU3F1YXRz</t>
  </si>
  <si>
    <t>Squat and pulse at the bottom.</t>
  </si>
  <si>
    <t>Push Up</t>
  </si>
  <si>
    <t>https://www.youtube.com/watch?v=IODxDxX7oi4&amp;pp=ygUQUHVzaCBVcCBleGVyY2lzZQ%3D%3D</t>
  </si>
  <si>
    <t>Lower and lift body, engage chest.</t>
  </si>
  <si>
    <t>Push Up Donkey Kick</t>
  </si>
  <si>
    <t>Chest, Core, Glutes</t>
  </si>
  <si>
    <t>https://www.youtube.com/watch?v=PtMfICbr8CE&amp;pp=ygUTUHVzaCBVcCBEb25rZXkgS2ljaw%3D%3D</t>
  </si>
  <si>
    <t>Push up and kick leg up, engage core.</t>
  </si>
  <si>
    <t>Push Up to Alternating Knee Tap</t>
  </si>
  <si>
    <t>https://www.youtube.com/watch?v=5Zy4NBDYsCw&amp;pp=ygUfUHVzaCBVcCB0byBBbHRlcm5hdGluZyBLbmVlIFRhcA%3D%3D</t>
  </si>
  <si>
    <t>Push up and touch opposite knee, engage core.</t>
  </si>
  <si>
    <t>Push Up to Knee Taps</t>
  </si>
  <si>
    <t>Push up and tap knees alternately, engage core.</t>
  </si>
  <si>
    <t>Push Up to Pull Through</t>
  </si>
  <si>
    <t>https://www.youtube.com/watch?v=3_mq9m6Yau8&amp;pp=ygUXUHVzaCBVcCB0byBQdWxsIFRocm91Z2g%3D</t>
  </si>
  <si>
    <t>Push up and slide body forward, engage core.</t>
  </si>
  <si>
    <t>Push Up to Reach</t>
  </si>
  <si>
    <t>https://www.youtube.com/watch?v=BzVQ_utfopY&amp;pp=ygUQUHVzaCBVcCB0byBSZWFjaA%3D%3D</t>
  </si>
  <si>
    <t>Push up and reach arms forward, engage core.</t>
  </si>
  <si>
    <t>Push Up to Renegade Row</t>
  </si>
  <si>
    <t>Chest, Back, Core</t>
  </si>
  <si>
    <t>https://www.youtube.com/watch?v=clVj2dQ_GoY&amp;pp=ygUXUHVzaCBVcCB0byBSZW5lZ2FkZSBSb3c%3D</t>
  </si>
  <si>
    <t>Push up, row weight, engage core and back.</t>
  </si>
  <si>
    <t>Push Up to Starfish</t>
  </si>
  <si>
    <t>https://www.youtube.com/shorts/niU_1VlJmeA</t>
  </si>
  <si>
    <t>Push up and extend arms and legs, engage core.</t>
  </si>
  <si>
    <t>Push Up to Superman</t>
  </si>
  <si>
    <t>Chest, Core, Back</t>
  </si>
  <si>
    <t>https://www.youtube.com/watch?v=TwXPklkR8ws&amp;pp=ygUTUHVzaCBVcCB0byBTdXBlcm1hbg%3D%3D</t>
  </si>
  <si>
    <t>Push Up w/ Rotation</t>
  </si>
  <si>
    <t>https://www.youtube.com/watch?v=Ohz9RWkCvH0&amp;pp=ygUTUHVzaCBVcCB3LyBSb3RhdGlvbg%3D%3D</t>
  </si>
  <si>
    <t>Push up and rotate, engage core and obliques.</t>
  </si>
  <si>
    <t>Push-up</t>
  </si>
  <si>
    <t>Push-Up to Plank Pull Through</t>
  </si>
  <si>
    <t>https://www.youtube.com/watch?v=10zRyqH3ckI&amp;pp=ygUdUHVzaC1VcCB0byBQbGFuayBQdWxsIFRocm91Z2g%3D</t>
  </si>
  <si>
    <t>Push up, pull through with opposite arm, engage core.</t>
  </si>
  <si>
    <t>Push-Ups on Knees</t>
  </si>
  <si>
    <t>https://www.youtube.com/watch?v=jWxvty2KROs&amp;pp=ygURUHVzaC1VcHMgb24gS25lZXM%3D</t>
  </si>
  <si>
    <t>Lower and lift body from knees, engage chest.</t>
  </si>
  <si>
    <t>Push-Ups with Shoulder Taps</t>
  </si>
  <si>
    <t>Chest, Core, Shoulders</t>
  </si>
  <si>
    <t>https://www.youtube.com/watch?v=yyFBdDj7EbQ&amp;pp=ygUcIFB1c2gtVXBzIHdpdGggU2hvdWxkZXIgVGFwcw%3D%3D</t>
  </si>
  <si>
    <t>Push up and tap shoulders, engage core.</t>
  </si>
  <si>
    <t>Quad Rockers</t>
  </si>
  <si>
    <t>Mobility, Stretch</t>
  </si>
  <si>
    <t>https://www.youtube.com/watch?v=Z7rFSpUcS5o&amp;pp=ygUMUXVhZCBSb2NrZXJz</t>
  </si>
  <si>
    <t>Rock forward and backward on knees, engage core.</t>
  </si>
  <si>
    <t>Quad Rockers / Child's Pose</t>
  </si>
  <si>
    <t>https://www.youtube.com/shorts/Q-wr-Hy6B_g</t>
  </si>
  <si>
    <t>Alternate between quad rockers and child's pose.</t>
  </si>
  <si>
    <t>Quad Stretch Lean Forward</t>
  </si>
  <si>
    <t>https://www.youtube.com/shorts/lh_N3speN0I</t>
  </si>
  <si>
    <t>Stretch quads by leaning forward.</t>
  </si>
  <si>
    <t>Quad Stretch with Reach</t>
  </si>
  <si>
    <t>https://www.youtube.com/watch?v=H6CXpwaGIxs</t>
  </si>
  <si>
    <t>Stretch quads while reaching back.</t>
  </si>
  <si>
    <t>Quadruped Extension-Rotation</t>
  </si>
  <si>
    <t>https://www.youtube.com/watch?v=lhMKyeSwUhk&amp;pp=ygUcUXVhZHJ1cGVkIEV4dGVuc2lvbi1Sb3RhdGlvbg%3D%3D</t>
  </si>
  <si>
    <t>Rotate upper body while on all fours, engage core.</t>
  </si>
  <si>
    <t>Quadruped Rock Back</t>
  </si>
  <si>
    <t>https://www.youtube.com/watch?v=x1EOLZDWA80&amp;pp=ygUTUXVhZHJ1cGVkIFJvY2sgQmFjaw%3D%3D</t>
  </si>
  <si>
    <t>Rock hips back while on all fours, engage glutes.</t>
  </si>
  <si>
    <t>Quadruped Shoulder Taps'</t>
  </si>
  <si>
    <t>https://www.youtube.com/watch?v=RUjjKrORHpI&amp;pp=ygUXUXVhZHJ1cGVkIFNob3VsZGVyIFRhcHM%3D</t>
  </si>
  <si>
    <t>Tap shoulders alternately while on all fours.</t>
  </si>
  <si>
    <t>Quick Bounds</t>
  </si>
  <si>
    <t>https://www.youtube.com/watch?v=SyB8EaNDi-I&amp;pp=ygUMUXVpY2sgQm91bmRz</t>
  </si>
  <si>
    <t>Perform quick and explosive bounds, engage legs.</t>
  </si>
  <si>
    <t>Rack Pull</t>
  </si>
  <si>
    <t>https://www.youtube.com/watch?v=cxVrqTqD_J4&amp;pp=ygUJUmFjayBQdWxs</t>
  </si>
  <si>
    <t>Pull weight off rack, engage back.</t>
  </si>
  <si>
    <t>Rainbow Ball Slam</t>
  </si>
  <si>
    <t>https://www.youtube.com/watch?v=9kqGbwTpoKQ&amp;pp=ygURUmFpbmJvdyBCYWxsIFNsYW0%3D</t>
  </si>
  <si>
    <t>Slam medicine ball in arc motion, engage core.</t>
  </si>
  <si>
    <t>Rear-Foot-Elevated Barbell Split Squat</t>
  </si>
  <si>
    <t>https://www.youtube.com/watch?v=d0nAqfdrVkc&amp;pp=ygUmUmVhci1Gb290LUVsZXZhdGVkIEJhcmJlbGwgU3BsaXQgU3F1YXQ%3D</t>
  </si>
  <si>
    <t>Split squat with back foot elevated, engage legs.</t>
  </si>
  <si>
    <t>Rear-Foot-Elevated Bodyweight Split Squat</t>
  </si>
  <si>
    <t>https://www.youtube.com/watch?v=kQ1VCHrfbbs&amp;pp=ygUpUmVhci1Gb290LUVsZXZhdGVkIEJvZHl3ZWlnaHQgU3BsaXQgU3F1YXQ%3D</t>
  </si>
  <si>
    <t>Bodyweight split squat with back foot elevated.</t>
  </si>
  <si>
    <t>Rear-Foot-Elevated Dumbbell Split Squat</t>
  </si>
  <si>
    <t>https://www.youtube.com/watch?v=JXn1Hnv_ZWE&amp;pp=ygUnUmVhci1Gb290LUVsZXZhdGVkIER1bWJiZWxsIFNwbGl0IFNxdWF0</t>
  </si>
  <si>
    <t>Split squat with back foot elevated, use dumbbells.</t>
  </si>
  <si>
    <t>Rear-Foot-Elevated Dumbbell Split Squat Jump</t>
  </si>
  <si>
    <t>https://www.youtube.com/watch?v=AmgM_PjBq0I&amp;pp=ygUsUmVhci1Gb290LUVsZXZhdGVkIER1bWJiZWxsIFNwbGl0IFNxdWF0IEp1bXA%3D</t>
  </si>
  <si>
    <t>Jump from split squat position, engage legs.</t>
  </si>
  <si>
    <t>Rear-Foot-Elevated Goblet Split Squat</t>
  </si>
  <si>
    <t>https://www.youtube.com/watch?v=z9dhokzNGP8&amp;pp=ygUlUmVhci1Gb290LUVsZXZhdGVkIEdvYmxldCBTcGxpdCBTcXVhdA%3D%3D</t>
  </si>
  <si>
    <t>Goblet split squat with back foot elevated, engage legs.</t>
  </si>
  <si>
    <t>Renegade Row</t>
  </si>
  <si>
    <t>Back, Core</t>
  </si>
  <si>
    <t>https://www.youtube.com/watch?v=G1AcX8Y_byg&amp;pp=ygUMUmVuZWdhZGUgUm93</t>
  </si>
  <si>
    <t>Push-up, row dumbbells, engage core and back.</t>
  </si>
  <si>
    <t>Renegade Row With Pushup</t>
  </si>
  <si>
    <t>Back, Core, Chest</t>
  </si>
  <si>
    <t>https://www.youtube.com/watch?v=731lQp2shpY&amp;pp=ygUYUmVuZWdhZGUgUm93IFdpdGggUHVzaHVw</t>
  </si>
  <si>
    <t>Renegade Row With Pushup and Feet Elevated</t>
  </si>
  <si>
    <t>https://www.youtube.com/watch?v=clVj2dQ_GoY&amp;pp=ygUqUmVuZWdhZGUgUm93IFdpdGggUHVzaHVwIGFuZCBGZWV0IEVsZXZhdGVk</t>
  </si>
  <si>
    <t>Push-up, row dumbbells, elevate feet, engage core.</t>
  </si>
  <si>
    <t>Reverse Crunch</t>
  </si>
  <si>
    <t>https://www.youtube.com/watch?v=hyv14e2QDq0&amp;pp=ygUOUmV2ZXJzZSBDcnVuY2g%3D</t>
  </si>
  <si>
    <t>Lift hips off ground, engage lower abs.</t>
  </si>
  <si>
    <t>Reverse Landmine Lunge</t>
  </si>
  <si>
    <t>https://www.youtube.com/watch?v=HHzBjUHrWf4&amp;pp=ygUWUmV2ZXJzZSBMYW5kbWluZSBMdW5nZQ%3D%3D</t>
  </si>
  <si>
    <t>Lunge backward with landmine attachment.</t>
  </si>
  <si>
    <t>Reverse Lunge</t>
  </si>
  <si>
    <t>https://www.youtube.com/watch?v=SXYrUTUwFoc&amp;pp=ygUNUmV2ZXJzZSBMdW5nZQ%3D%3D</t>
  </si>
  <si>
    <t>Lunge backward, engage legs.</t>
  </si>
  <si>
    <t>Reverse Lunge into Knee up</t>
  </si>
  <si>
    <t>https://www.youtube.com/watch?v=NKcPgHedtTg&amp;pp=ygUaUmV2ZXJzZSBMdW5nZSBpbnRvIEtuZWUgdXA%3D</t>
  </si>
  <si>
    <t>Lunge backward and lift knee, engage legs.</t>
  </si>
  <si>
    <t>Reverse Lunge Jump</t>
  </si>
  <si>
    <t>https://www.youtube.com/watch?v=GE9gUamCGX8&amp;pp=ygUSUmV2ZXJzZSBMdW5nZSBKdW1w</t>
  </si>
  <si>
    <t>Lunge backward and jump, engage legs.</t>
  </si>
  <si>
    <t>Reverse Lunge Shoulder Press</t>
  </si>
  <si>
    <t>https://www.youtube.com/watch?v=mJT6hPY7gO4&amp;pp=ygUcUmV2ZXJzZSBMdW5nZSBTaG91bGRlciBQcmVzcw%3D%3D</t>
  </si>
  <si>
    <t>Lunge backward and press dumbbells, engage shoulders.</t>
  </si>
  <si>
    <t>Reverse Lunge to Single-Leg Skip</t>
  </si>
  <si>
    <t>https://www.youtube.com/watch?v=lKkdBpK2fzU&amp;pp=ygUgUmV2ZXJzZSBMdW5nZSB0byBTaW5nbGUtTGVnIFNraXA%3D</t>
  </si>
  <si>
    <t>Lunge backward, skip on one leg, engage legs.</t>
  </si>
  <si>
    <t>Reverse Nordic</t>
  </si>
  <si>
    <t>https://www.youtube.com/watch?v=x2K8uH7dcqg&amp;pp=ygUOUmV2ZXJzZSBOb3JkaWM%3D</t>
  </si>
  <si>
    <t>Slowly lower body to floor, engage hamstrings.</t>
  </si>
  <si>
    <t>Reverse Pattern Single-Leg Romanian Deadlift</t>
  </si>
  <si>
    <t>https://www.youtube.com/watch?v=FDaAi-dCTz8&amp;pp=ygUsUmV2ZXJzZSBQYXR0ZXJuIFNpbmdsZS1MZWcgUm9tYW5pYW4gRGVhZGxpZnQ%3D</t>
  </si>
  <si>
    <t>Romanian deadlift on one leg, engage hamstrings.</t>
  </si>
  <si>
    <t>Reverse Plank Hold</t>
  </si>
  <si>
    <t>https://www.youtube.com/watch?v=uUEKLhpJd1Q&amp;pp=ygUSUmV2ZXJzZSBQbGFuayBIb2xk</t>
  </si>
  <si>
    <t>Hold reverse plank position, engage core.</t>
  </si>
  <si>
    <t>Reverse Plank Knee Drives</t>
  </si>
  <si>
    <t>Core, Hip Flexors</t>
  </si>
  <si>
    <t>https://www.youtube.com/watch?v=bnu5b61vqGQ&amp;pp=ygUSUmV2ZXJzZSBQbGFuayBIb2xk</t>
  </si>
  <si>
    <t>Drive knees in toward chest, engage core.</t>
  </si>
  <si>
    <t>Reverse Planks</t>
  </si>
  <si>
    <t>Reverse Step Up</t>
  </si>
  <si>
    <t>https://www.youtube.com/watch?v=7PV_bGLFlfY&amp;pp=ygUPUmV2ZXJzZSBTdGVwIFVw</t>
  </si>
  <si>
    <t>Step backward onto elevated platform, engage legs.</t>
  </si>
  <si>
    <t>Reverse Table Top Knee Raises</t>
  </si>
  <si>
    <t>https://www.youtube.com/shorts/F5z-XQ5Hhm8</t>
  </si>
  <si>
    <t>Raise knees while lying on back, engage core.</t>
  </si>
  <si>
    <t>Reverse Triceps Extension</t>
  </si>
  <si>
    <t>https://www.youtube.com/watch?v=UiDZEg2y1bc&amp;pp=ygUZUmV2ZXJzZSBUcmljZXBzIEV4dGVuc2lvbg%3D%3D</t>
  </si>
  <si>
    <t>Extend arms back with weight, engage triceps.</t>
  </si>
  <si>
    <t>Ring Plank</t>
  </si>
  <si>
    <t>https://www.youtube.com/watch?v=BcaaobXxRbM&amp;pp=ygUKUmluZyBQbGFuaw%3D%3D</t>
  </si>
  <si>
    <t>Plank position using gymnastic rings, engage core.</t>
  </si>
  <si>
    <t>Ring Pushup</t>
  </si>
  <si>
    <t>Chest, Shoulders, Core</t>
  </si>
  <si>
    <t>https://www.youtube.com/watch?v=FRiiZRhapeU&amp;pp=ygULUmluZyBQdXNodXA%3D</t>
  </si>
  <si>
    <t>Push-up with gymnastic rings, engage chest.</t>
  </si>
  <si>
    <t>Ring Row</t>
  </si>
  <si>
    <t>https://www.youtube.com/watch?v=xhlReCpAE9k&amp;pp=ygUIUmluZyBSb3c%3D%27</t>
  </si>
  <si>
    <t>Row with gymnastic rings, engage back.</t>
  </si>
  <si>
    <t>Ring Row With Feet Elevated</t>
  </si>
  <si>
    <t>https://www.youtube.com/watch?v=u3XIZSv2Npw&amp;pp=ygUbUmluZyBSb3cgV2l0aCBGZWV0IEVsZXZhdGVk</t>
  </si>
  <si>
    <t>Row with elevated feet using gymnastic rings.</t>
  </si>
  <si>
    <t>Rocked-Back Quadruped Extension-Rotation</t>
  </si>
  <si>
    <t>https://www.youtube.com/watch?v=wbwu895NW9w&amp;pp=ygUoUm9ja2VkLUJhY2sgUXVhZHJ1cGVkIEV4dGVuc2lvbi1Sb3RhdGlvbg%3D%3D</t>
  </si>
  <si>
    <t>Rock back and rotate while on hands and knees.</t>
  </si>
  <si>
    <t>Romanian Deadlift</t>
  </si>
  <si>
    <t>https://www.youtube.com/watch?v=LURGDIX3adY&amp;pp=ygURUm9tYW5pYW4gRGVhZGxpZnQ%3D</t>
  </si>
  <si>
    <t>Hip hinge, weight on bar, engage hamstrings.</t>
  </si>
  <si>
    <t>Romanian Deadlift To Bicep Curl</t>
  </si>
  <si>
    <t>Legs, Hamstrings, Biceps</t>
  </si>
  <si>
    <t>https://www.youtube.com/watch?v=nWtmxbMBEJo&amp;pp=ygUfUm9tYW5pYW4gRGVhZGxpZnQgVG8gQmljZXAgQ3VybA%3D%3D</t>
  </si>
  <si>
    <t>Combine Romanian deadlift with bicep curl.</t>
  </si>
  <si>
    <t>Romanian Deadlift With Dowel</t>
  </si>
  <si>
    <t>https://www.youtube.com/watch?v=huKdEsssSUo&amp;pp=ygUcUm9tYW5pYW4gRGVhZGxpZnQgV2l0aCBEb3dlbA%3D%3D</t>
  </si>
  <si>
    <t>Use dowel for Romanian deadlift form.</t>
  </si>
  <si>
    <t>Rotating Bear Plank</t>
  </si>
  <si>
    <t>https://www.youtube.com/watch?v=ASThkQl4fWg&amp;pp=ygUTUm90YXRpbmcgQmVhciBQbGFuaw%3D%3D</t>
  </si>
  <si>
    <t>Plank with rotational movement, engage core.</t>
  </si>
  <si>
    <t>Row Boats</t>
  </si>
  <si>
    <t>https://www.youtube.com/watch?v=q3F2Bao2Xnk&amp;pp=ygUYICAgCSBSb3cgQm9hdHMgZXhlcmNpc2Vz</t>
  </si>
  <si>
    <t>Sit and row with resistance bands, engage back.</t>
  </si>
  <si>
    <t>Rowing</t>
  </si>
  <si>
    <t>Cardio, Back</t>
  </si>
  <si>
    <t>https://www.youtube.com/watch?v=ZN0J6qKCIrI&amp;pp=ygUPUm93aW5nIG1hY2h1aW5l</t>
  </si>
  <si>
    <t>Perform rowing motion, engage back and arms.</t>
  </si>
  <si>
    <t>Runner's Stretch</t>
  </si>
  <si>
    <t>https://www.youtube.com/watch?v=yjB23ki0HHE&amp;pp=ygUQUnVubmVyJ3MgU3RyZXRjaA%3D%3D</t>
  </si>
  <si>
    <t>Stretch hip flexors by lunging forward.</t>
  </si>
  <si>
    <t>Russian Twist</t>
  </si>
  <si>
    <t>Core, Obliques</t>
  </si>
  <si>
    <t>https://www.youtube.com/watch?v=wkD8rjkodUI&amp;pp=ygUNUnVzc2lhbiBUd2lzdA%3D%3D</t>
  </si>
  <si>
    <t>Russian Twist (Weighted)</t>
  </si>
  <si>
    <t>https://www.youtube.com/watch?v=TfTUk2AjV7g&amp;pp=ygUYUnVzc2lhbiBUd2lzdCAoV2VpZ2h0ZWQp</t>
  </si>
  <si>
    <t>Twist torso side to side holding weight.</t>
  </si>
  <si>
    <t>Salute Plank</t>
  </si>
  <si>
    <t>https://www.youtube.com/watch?v=_4ev5sIEvfA&amp;pp=ygUMU2FsdXRlIFBsYW5r</t>
  </si>
  <si>
    <t>Plank with hand-to-shoulder salute motion.</t>
  </si>
  <si>
    <t>SB Crunches</t>
  </si>
  <si>
    <t>https://www.youtube.com/watch?v=RFscllOmYvA&amp;pp=ygULU0IgQ3J1bmNoZXM%3D</t>
  </si>
  <si>
    <t>Crunches on stability ball, engage abs.</t>
  </si>
  <si>
    <t>Scap Pull-Ups</t>
  </si>
  <si>
    <t>https://www.youtube.com/watch?v=kCoCVLZvI8E&amp;pp=ygUNU2NhcCBQdWxsLVVwcw%3D%3D</t>
  </si>
  <si>
    <t>Engage scapula muscles while hanging.</t>
  </si>
  <si>
    <t>Scapular Push Up</t>
  </si>
  <si>
    <t>https://www.youtube.com/watch?v=5YHZnEsE9hA&amp;pp=ygUQU2NhcHVsYXIgUHVzaCBVcA%3D%3D</t>
  </si>
  <si>
    <t>Push-up with scapular movement, engage back.</t>
  </si>
  <si>
    <t>Scapular Pushup on Elbows</t>
  </si>
  <si>
    <t>https://www.youtube.com/watch?v=Jmyx_fRYDt4&amp;pp=ygUZU2NhcHVsYXIgUHVzaHVwIG9uIEVsYm93cw%3D%3D</t>
  </si>
  <si>
    <t>Push up with scapular movement on elbows.</t>
  </si>
  <si>
    <t>Scapular Wall-Slide</t>
  </si>
  <si>
    <t>https://www.youtube.com/watch?v=c1rn3sjgbfY&amp;pp=ygUTU2NhcHVsYXIgV2FsbC1TbGlkZQ%3D%3D</t>
  </si>
  <si>
    <t>Engage scapula muscles with wall slides.</t>
  </si>
  <si>
    <t>Scullcrusher</t>
  </si>
  <si>
    <t>https://www.youtube.com/watch?v=d_KZxkY_0cM&amp;pp=ygUMU2N1bGxjcnVzaGVy%27</t>
  </si>
  <si>
    <t>Lying triceps extension with barbell.</t>
  </si>
  <si>
    <t>Seal Jacks</t>
  </si>
  <si>
    <t>https://www.youtube.com/watch?v=fxrmaUVAajo&amp;pp=ygUKU2VhbCBKYWNrcw%3D%3D</t>
  </si>
  <si>
    <t>Jumping jacks with clapping hands in front.</t>
  </si>
  <si>
    <t>Seated Alternating Dumbbell Press</t>
  </si>
  <si>
    <t>https://www.youtube.com/watch?v=Z4fmeY-GQ8o&amp;pp=ygUhU2VhdGVkIEFsdGVybmF0aW5nIER1bWJiZWxsIFByZXNz</t>
  </si>
  <si>
    <t>Press dumbbells alternately while seated.</t>
  </si>
  <si>
    <t>Seated Ankle Dorsiflexsion</t>
  </si>
  <si>
    <t>Mobility</t>
  </si>
  <si>
    <t>https://www.youtube.com/watch?v=nP2Jab5DAds&amp;pp=ygUaU2VhdGVkIEFua2xlIERvcnNpZmxleHNpb24%3D</t>
  </si>
  <si>
    <t>Stretch ankle by flexing toes toward shin.</t>
  </si>
  <si>
    <t>Seated Cable Chest Press</t>
  </si>
  <si>
    <t>https://www.youtube.com/watch?v=tAILewhtCb0&amp;pp=ygUYU2VhdGVkIENhYmxlIENoZXN0IFByZXNz</t>
  </si>
  <si>
    <t>Press cables forward while seated.</t>
  </si>
  <si>
    <t>Seated Cable Row</t>
  </si>
  <si>
    <t>https://www.youtube.com/watch?v=sP_4vybjVJs&amp;pp=ygUQU2VhdGVkIENhYmxlIFJvdw%3D%3D</t>
  </si>
  <si>
    <t>Row cables while seated, engage back.</t>
  </si>
  <si>
    <t>Seated Calf Press</t>
  </si>
  <si>
    <t>Calves</t>
  </si>
  <si>
    <t>https://www.youtube.com/watch?v=W-NU8NUS8lI&amp;pp=ygURU2VhdGVkIENhbGYgUHJlc3M%3D</t>
  </si>
  <si>
    <t>Press weight with calf muscles while seated.</t>
  </si>
  <si>
    <t>Seated Chest Press</t>
  </si>
  <si>
    <t>https://www.youtube.com/watch?v=xUm0BiZCWlQ&amp;pp=ygUSU2VhdGVkIENoZXN0IFByZXNz</t>
  </si>
  <si>
    <t>Press weights forward while seated.</t>
  </si>
  <si>
    <t>Seated DB Overhead Press</t>
  </si>
  <si>
    <t>https://www.youtube.com/watch?v=HzIiNhHhhtA&amp;pp=ygUYU2VhdGVkIERCIE92ZXJoZWFkIFByZXNz</t>
  </si>
  <si>
    <t>Press dumbbells overhead while seated.</t>
  </si>
  <si>
    <t>Seated Dumbbell Curl</t>
  </si>
  <si>
    <t>Biceps</t>
  </si>
  <si>
    <t>https://www.youtube.com/watch?v=BsULGO70tcU&amp;pp=ygUUU2VhdGVkIER1bWJiZWxsIEN1cmw%3D</t>
  </si>
  <si>
    <t>Curl dumbbells, engage biceps.</t>
  </si>
  <si>
    <t>Seated Dumbbell Hammer Curl</t>
  </si>
  <si>
    <t>https://www.youtube.com/watch?v=WdssQ4YuUSA&amp;pp=ygUbU2VhdGVkIER1bWJiZWxsIEhhbW1lciBDdXJs</t>
  </si>
  <si>
    <t>Curl dumbbells with hammer grip.</t>
  </si>
  <si>
    <t>Seated Dumbbell Lateral Raise</t>
  </si>
  <si>
    <t>https://www.youtube.com/watch?v=TiG5Un0pLdA&amp;pp=ygUdU2VhdGVkIER1bWJiZWxsIExhdGVyYWwgUmFpc2U%3D</t>
  </si>
  <si>
    <t>Raise dumbbells laterally while seated.</t>
  </si>
  <si>
    <t>Seated Dumbbell Overhead Press</t>
  </si>
  <si>
    <t>https://www.youtube.com/watch?v=qEwKCR5JCog&amp;pp=ygUeU2VhdGVkIER1bWJiZWxsIE92ZXJoZWFkIFByZXNz</t>
  </si>
  <si>
    <t>Seated Dumbbell Shoulder Press</t>
  </si>
  <si>
    <t>Seated Face Pull</t>
  </si>
  <si>
    <t>Shoulders, Upper Back</t>
  </si>
  <si>
    <t>https://www.youtube.com/watch?v=EnTtxL6o9WI&amp;pp=ygUQU2VhdGVkIEZhY2UgUHVsbA%3D%3D</t>
  </si>
  <si>
    <t>Pull cables to face level while seated.</t>
  </si>
  <si>
    <t>Seated Hamstring Curl</t>
  </si>
  <si>
    <t>https://www.youtube.com/watch?v=Orxowest56U&amp;pp=ygUVU2VhdGVkIEhhbXN0cmluZyBDdXJs</t>
  </si>
  <si>
    <t>Curl legs back, engage hamstrings.</t>
  </si>
  <si>
    <t>Seated Lateral Raise</t>
  </si>
  <si>
    <t>https://www.youtube.com/watch?v=3zohLHTjFH0&amp;pp=ygUUU2VhdGVkIExhdGVyYWwgUmFpc2U%3D</t>
  </si>
  <si>
    <t>Raise arms laterally while seated.</t>
  </si>
  <si>
    <t>Seated Leg Extension</t>
  </si>
  <si>
    <t>Quadriceps</t>
  </si>
  <si>
    <t>https://www.youtube.com/watch?v=4ZDm5EbiFI8&amp;pp=ygUUU2VhdGVkIExlZyBFeHRlbnNpb24%3D</t>
  </si>
  <si>
    <t>Extend legs while seated, engage quads.</t>
  </si>
  <si>
    <t>Seated Overhead Press</t>
  </si>
  <si>
    <t>https://www.youtube.com/watch?v=oBGeXxnigsQ&amp;pp=ygUVU2VhdGVkIE92ZXJoZWFkIFByZXNz</t>
  </si>
  <si>
    <t>Press weight overhead while seated.</t>
  </si>
  <si>
    <t>Seated Overhead Tricep Extension</t>
  </si>
  <si>
    <t>https://www.youtube.com/watch?v=YbX7Wd8jQ-Q&amp;pp=ygUgU2VhdGVkIE92ZXJoZWFkIFRyaWNlcCBFeHRlbnNpb24%3D</t>
  </si>
  <si>
    <t>Extend arms overhead with weight, engage triceps.</t>
  </si>
  <si>
    <t>Seated Plate Loaded Row</t>
  </si>
  <si>
    <t>https://www.youtube.com/watch?v=2E6psSHltl4&amp;pp=ygUXU2VhdGVkIFBsYXRlIExvYWRlZCBSb3c%3D</t>
  </si>
  <si>
    <t>Row plate-loaded machine while seated.</t>
  </si>
  <si>
    <t>Seated Reverse Fly</t>
  </si>
  <si>
    <t>https://www.youtube.com/watch?v=cL1HxbOBkTs&amp;pp=ygUSU2VhdGVkIFJldmVyc2UgRmx5</t>
  </si>
  <si>
    <t>Perform reverse fly motion while seated.</t>
  </si>
  <si>
    <t>Seated Row</t>
  </si>
  <si>
    <t>https://www.youtube.com/watch?v=GZbfZ033f74&amp;pp=ygUKU2VhdGVkIFJvdw%3D%3D</t>
  </si>
  <si>
    <t>Row machine while seated, engage back.</t>
  </si>
  <si>
    <t>Seated Row Machine</t>
  </si>
  <si>
    <t>https://www.youtube.com/watch?v=oS_QPtHvgLw&amp;pp=ygUSU2VhdGVkIFJvdyBNYWNoaW5l</t>
  </si>
  <si>
    <t>Engage back and arms, use seated row machine.</t>
  </si>
  <si>
    <t>Seated Single Arm Lat Pulldown</t>
  </si>
  <si>
    <t>https://www.youtube.com/watch?v=0BT533ueEdI&amp;pp=ygUeU2VhdGVkIFNpbmdsZSBBcm0gTGF0IFB1bGxkb3du</t>
  </si>
  <si>
    <t>Lat pulldown with one arm, engage back.</t>
  </si>
  <si>
    <t>Seated Single Arm Shoulder Press</t>
  </si>
  <si>
    <t>https://www.youtube.com/watch?v=_KZcLQlkTyU&amp;pp=ygUgU2VhdGVkIFNpbmdsZSBBcm0gU2hvdWxkZXIgUHJlc3M%3D</t>
  </si>
  <si>
    <t>Press dumbbell overhead while seated.</t>
  </si>
  <si>
    <t>Seated Single Leg Hamstring Curl</t>
  </si>
  <si>
    <t>https://www.youtube.com/watch?v=O12vEgtY9pE&amp;pp=ygUgU2VhdGVkIFNpbmdsZSBMZWcgSGFtc3RyaW5nIEN1cmw%3D</t>
  </si>
  <si>
    <t>Curl one leg back while seated, engage hamstrings.</t>
  </si>
  <si>
    <t>Seated Single Leg Leg Press</t>
  </si>
  <si>
    <t>https://www.youtube.com/watch?v=yxy8RzT3_fE&amp;pp=ygUbU2VhdGVkIFNpbmdsZSBMZWcgTGVnIFByZXNz</t>
  </si>
  <si>
    <t>Leg press machine using one leg at a time.</t>
  </si>
  <si>
    <t>Seated Single-arm DB Overhead Press</t>
  </si>
  <si>
    <t>https://www.youtube.com/watch?v=9DB2kibw0os</t>
  </si>
  <si>
    <t>Seated to Squat Jump</t>
  </si>
  <si>
    <t>https://www.youtube.com/watch?v=jwY9A4HCl_Q&amp;pp=ygUUU2VhdGVkIHRvIFNxdWF0IEp1bXA%3D</t>
  </si>
  <si>
    <t>Transition from seated to squatting position.</t>
  </si>
  <si>
    <t>Serratus Anterior Punch</t>
  </si>
  <si>
    <t>https://www.youtube.com/watch?v=1Lg1TbWZUeY&amp;pp=ygUXU2VycmF0dXMgQW50ZXJpb3IgUHVuY2g%3D</t>
  </si>
  <si>
    <t>Engage serratus anterior muscle with punching motion.</t>
  </si>
  <si>
    <t>Shoulder Flossing</t>
  </si>
  <si>
    <t>Mobility, Shoulders</t>
  </si>
  <si>
    <t>https://www.youtube.com/watch?v=ICz5ePml9zk&amp;pp=ygURU2hvdWxkZXIgRmxvc3Npbmc%3D</t>
  </si>
  <si>
    <t>Improve shoulder mobility with band.</t>
  </si>
  <si>
    <t>Shoulder Jacks</t>
  </si>
  <si>
    <t>https://www.youtube.com/watch?v=-CpadtmFgNw&amp;pp=ygUOU2hvdWxkZXIgSmFja3M%3D</t>
  </si>
  <si>
    <t>Jack arms overhead, engage shoulders.</t>
  </si>
  <si>
    <t>Shoulder Mobility and Chest Opener</t>
  </si>
  <si>
    <t>https://www.youtube.com/watch?v=SfxyICleU4I&amp;pp=ygUiU2hvdWxkZXIgTW9iaWxpdHkgYW5kIENoZXN0IE9wZW5lcg%3D%3D</t>
  </si>
  <si>
    <t>Mobilize shoulders and open chest.</t>
  </si>
  <si>
    <t>Shoulder Press Machine</t>
  </si>
  <si>
    <t>https://www.youtube.com/shorts/CkvTfKB-gfs</t>
  </si>
  <si>
    <t>Press machine overhead, engage shoulders.</t>
  </si>
  <si>
    <t>Shoulder Shrugs</t>
  </si>
  <si>
    <t>https://www.youtube.com/watch?v=JEnhFC1AtHw&amp;pp=ygUPU2hvdWxkZXIgU2hydWdz</t>
  </si>
  <si>
    <t>Shrug shoulders upward, engage traps.</t>
  </si>
  <si>
    <t>Side Lunge</t>
  </si>
  <si>
    <t>https://www.youtube.com/watch?v=rvqLVxYqEvo&amp;pp=ygUKU2lkZSBMdW5nZQ%3D%3D</t>
  </si>
  <si>
    <t>Lunge sideways, engage legs.</t>
  </si>
  <si>
    <t>Side Plank</t>
  </si>
  <si>
    <t>https://www.youtube.com/watch?v=kiVFaQAyZAE&amp;pp=ygUKU2lkZSBQbGFuaw%3D%3D</t>
  </si>
  <si>
    <t>Hold plank on one side, engage core.</t>
  </si>
  <si>
    <t>Side Plank Crunch</t>
  </si>
  <si>
    <t>https://www.youtube.com/watch?v=CMJA332bfs0&amp;pp=ygURU2lkZSBQbGFuayBDcnVuY2g%3D</t>
  </si>
  <si>
    <t>Crunch in side plank position, engage obliques.</t>
  </si>
  <si>
    <t>Side Plank Dips</t>
  </si>
  <si>
    <t>https://www.youtube.com/watch?v=ibyUMvywMTc&amp;pp=ygUPU2lkZSBQbGFuayBEaXBz</t>
  </si>
  <si>
    <t>Dip hips in side plank position, engage obliques.</t>
  </si>
  <si>
    <t>Side Plank Leg Lift</t>
  </si>
  <si>
    <t>Core, Hip Abductors</t>
  </si>
  <si>
    <t>https://www.youtube.com/watch?v=edTXNT-etYc&amp;pp=ygUTU2lkZSBQbGFuayBMZWcgTGlmdA%3D%3D</t>
  </si>
  <si>
    <t>Lift top leg in side plank position.</t>
  </si>
  <si>
    <t>Side Plank Leg Lift (modified)</t>
  </si>
  <si>
    <t>https://www.youtube.com/watch?v=fdODAWKfEuk&amp;pp=ygUeU2lkZSBQbGFuayBMZWcgTGlmdCAobW9kaWZpZWQp</t>
  </si>
  <si>
    <t>Lift top leg slightly in side plank position.</t>
  </si>
  <si>
    <t>Side Plank Reach Through</t>
  </si>
  <si>
    <t>https://www.youtube.com/watch?v=-ruAdV34H54&amp;pp=ygUYU2lkZSBQbGFuayBSZWFjaCBUaHJvdWdo</t>
  </si>
  <si>
    <t>Reach under body in side plank position.</t>
  </si>
  <si>
    <t>Side Plank Reach Through (modified)</t>
  </si>
  <si>
    <t>https://www.youtube.com/watch?v=-ruAdV34H54&amp;pp=ygUjU2lkZSBQbGFuayBSZWFjaCBUaHJvdWdoIChtb2RpZmllZCk%3D</t>
  </si>
  <si>
    <t>Reach under body slightly in side plank position.</t>
  </si>
  <si>
    <t>Side Plank Rows</t>
  </si>
  <si>
    <t>https://www.youtube.com/watch?v=_K9ZvNNgWyY&amp;pp=ygUPc2lkZSBwbGFuayByb3dz</t>
  </si>
  <si>
    <t>Perform rowing motion in side plank position.</t>
  </si>
  <si>
    <t>Side Plank to Knee Drive</t>
  </si>
  <si>
    <t>https://www.youtube.com/watch?v=CPR2HCm2cRo&amp;pp=ygUYU2lkZSBQbGFuayB0byBLbmVlIERyaXZl</t>
  </si>
  <si>
    <t>Drive knee toward chest in side plank.</t>
  </si>
  <si>
    <t>Side Plank Wall-Slide</t>
  </si>
  <si>
    <t>https://www.youtube.com/watch?v=vH-58pbvjHQ&amp;pp=ygUVU2lkZSBQbGFuayBXYWxsLVNsaWRl</t>
  </si>
  <si>
    <t>Perform wall-slide in side plank position.</t>
  </si>
  <si>
    <t>Single Leg Lifts</t>
  </si>
  <si>
    <t>https://www.youtube.com/watch?v=V7qZEEenaaU&amp;pp=ygUXU2luZ2xlIEFybSBBcm5vbGQgUHJlc3M%3D</t>
  </si>
  <si>
    <t>Lift one leg while lying on back.</t>
  </si>
  <si>
    <t>Single Arm Arnold Press</t>
  </si>
  <si>
    <t>https://www.youtube.com/watch?v=pYcpY20QaE8&amp;pp=ygUYU2luZ2xlIEFybSBCZW50IE92ZXIgUm93</t>
  </si>
  <si>
    <t>Press dumbbell overhead with one arm.</t>
  </si>
  <si>
    <t>Single Arm Bent Over Row</t>
  </si>
  <si>
    <t>https://www.youtube.com/watch?v=dFzUjzfih7k&amp;pp=ygUOU2luZ2xlIEFybSBSb3c%3D</t>
  </si>
  <si>
    <t>Row dumbbell with one arm, engage back.</t>
  </si>
  <si>
    <t>Single Arm Cable Tricep Extension</t>
  </si>
  <si>
    <t>https://www.youtube.com/watch?v=uLSwoSPhmqI&amp;pp=ygUQU2luZ2xlIEFybSBDbGVhbg%3D%3D</t>
  </si>
  <si>
    <t>Extend arm down with cable, engage triceps.</t>
  </si>
  <si>
    <t>Single Arm Clean</t>
  </si>
  <si>
    <t>https://www.youtube.com/watch?v=D9e8ZBlFPBw&amp;pp=ygUjU2luZ2xlIEFybSBDb3N0YWwgQ2FibGUgQ2hlc3QgUHJlc3M%3D</t>
  </si>
  <si>
    <t>Lift weight from floor to shoulder, engage core.</t>
  </si>
  <si>
    <t>Single Arm Costal Cable Chest Press</t>
  </si>
  <si>
    <t>https://www.youtube.com/watch?v=jb_NPNFWqhE&amp;pp=ygUXU2luZ2xlIEFybSBEQiBQbGFuayBSb3c%3D</t>
  </si>
  <si>
    <t>Press cable with one arm, engage chest.</t>
  </si>
  <si>
    <t>Single Arm DB Plank Row</t>
  </si>
  <si>
    <t>https://www.youtube.com/watch?v=ro1FDXOJT4I&amp;pp=ygUTU2luZ2xlIEFybSBEQiBQcmVzcw%3D%3D</t>
  </si>
  <si>
    <t>Row dumbbell in plank position, engage back.</t>
  </si>
  <si>
    <t>Single Arm DB Press</t>
  </si>
  <si>
    <t>https://www.youtube.com/watch?v=xl1YiqQY2vA&amp;pp=ygURU2luZ2xlIEFybSBEQiBSb3c%3D</t>
  </si>
  <si>
    <t>Single Arm DB Row</t>
  </si>
  <si>
    <t>https://www.youtube.com/watch?v=Ib-8BOyAgTQ&amp;pp=ygUbU2luZ2xlIEFybSBEdW1iYmVsbCBaIFByZXNz</t>
  </si>
  <si>
    <t>Single Arm Dumbbell Z Press</t>
  </si>
  <si>
    <t>https://www.youtube.com/watch?v=uLSwoSPhmqI&amp;pp=ygUVU2luZ2xlIEFybSBIYW5nIENsZWFu</t>
  </si>
  <si>
    <t>Single Arm Hang Clean</t>
  </si>
  <si>
    <t>https://www.youtube.com/watch?v=SnZ75pFB7Wo&amp;pp=ygUnU2luZ2xlIEFybSBJbmNsaW5lIER1bWJiZWxsIEJlbmNoIFByZXNz</t>
  </si>
  <si>
    <t>Single Arm Incline Dumbbell Bench Press</t>
  </si>
  <si>
    <t>https://www.youtube.com/watch?v=ygiRarZWXHw&amp;pp=ygUVU2luZ2xlIEFybSBLQiBaIFByZXNz</t>
  </si>
  <si>
    <t>Press dumbbell on incline bench, engage chest.</t>
  </si>
  <si>
    <t>Single Arm KB Z Press</t>
  </si>
  <si>
    <t>https://www.youtube.com/watch?v=ygiRarZWXHw&amp;pp=ygUdU2luZ2xlIEFybSBLZXR0bGViZWxsIFogUHJlc3M%3D</t>
  </si>
  <si>
    <t>Press kettlebell overhead with one arm.</t>
  </si>
  <si>
    <t>Single Arm Kettlebell Z Press</t>
  </si>
  <si>
    <t>https://www.youtube.com/watch?v=0BT533ueEdI&amp;pp=ygUXU2luZ2xlIEFybSBMYXQgUHVsbGRvd24%3D</t>
  </si>
  <si>
    <t>Single Arm Lat Pulldown</t>
  </si>
  <si>
    <t>https://www.youtube.com/watch?v=J-6uEOkYAKM&amp;pp=ygUYU2luZ2xlIEFybSBMYXRlcmFsIFJhaXNl</t>
  </si>
  <si>
    <t>Pull-down cable with one arm, engage back.</t>
  </si>
  <si>
    <t>Single Arm Lateral Raise</t>
  </si>
  <si>
    <t>https://www.youtube.com/watch?v=t1XQ7V7gEm4&amp;pp=ygUeU2luZ2xlIEFybSBPYmxpcXVlIENhYmxlIFR3aXN0</t>
  </si>
  <si>
    <t>Raise dumbbell laterally with one arm.</t>
  </si>
  <si>
    <t>Single Arm Oblique Cable Twist</t>
  </si>
  <si>
    <t>https://www.youtube.com/watch?v=al0fcJzlSrc&amp;pp=ygUZU2luZ2xlIEFybSBPdmVyaGVhZCBTcXVhdA%3D%3D</t>
  </si>
  <si>
    <t>Twist torso with cable in one hand, engage obliques.</t>
  </si>
  <si>
    <t>Single Arm Overhead Squat</t>
  </si>
  <si>
    <t>https://www.youtube.com/watch?v=XCErz4Rwwm0&amp;pp=ygUVU2luZ2xlIEFybSBQdXNoIFByZXNz</t>
  </si>
  <si>
    <t>Squat with dumbbell overhead in one hand.</t>
  </si>
  <si>
    <t>Single Arm Push Press</t>
  </si>
  <si>
    <t>Shoulders, Triceps</t>
  </si>
  <si>
    <t>https://www.youtube.com/watch?v=-t7fuZ0KhDA&amp;pp=ygUfU2luZ2xlIEFybSBSYWlzZSB0byBGcm9udCBSYWlzZQ%3D%3D</t>
  </si>
  <si>
    <t>Single Arm Raise to Front Raise</t>
  </si>
  <si>
    <t>https://www.youtube.com/watch?v=UJP3IcIbRe4&amp;pp=ygUeU2luZ2xlIEFybSBSZWFyIERlbHQgQ2FibGUgRmx5</t>
  </si>
  <si>
    <t>Raise dumbbell from side to front with one arm.</t>
  </si>
  <si>
    <t>Single Arm Rear Delt Cable Fly</t>
  </si>
  <si>
    <t>https://www.youtube.com/watch?v=qz1OLup4W_M&amp;pp=ygUaU2luZ2xlIEFybSBSZWFyIERlbHQgUmFpc2U%3D</t>
  </si>
  <si>
    <t>Perform rear delt fly with cable in one hand.</t>
  </si>
  <si>
    <t>Single Arm Rear Delt Raise</t>
  </si>
  <si>
    <t>Single Arm Row</t>
  </si>
  <si>
    <t>https://www.youtube.com/watch?v=GkEaYIzkZec&amp;pp=ygUiU2luZ2xlIEFybSBSb3cgd2l0aCBMZWcgRXh0ZW5zaW9ucw%3D%3D</t>
  </si>
  <si>
    <t>Single Arm Row with Leg Extensions</t>
  </si>
  <si>
    <t>https://www.youtube.com/watch?v=f3s7oAavsAc&amp;pp=ygURU2luZ2xlIEFybSBTbmF0Y2g%3D</t>
  </si>
  <si>
    <t>Row dumbbell with one arm, extend leg back.</t>
  </si>
  <si>
    <t>Single Arm Snatch</t>
  </si>
  <si>
    <t>https://www.youtube.com/watch?v=sARk1TGYlPU&amp;pp=ygUYU2luZ2xlIEFybSBTdGFnZ2VyZWQgUm93</t>
  </si>
  <si>
    <t>Lift weight from floor to overhead, engage core.</t>
  </si>
  <si>
    <t>Single Arm Staggered Row</t>
  </si>
  <si>
    <t>https://www.youtube.com/watch?v=D9e8ZBlFPBw&amp;pp=ygUkU2luZ2xlIEFybSBTdGVybmFsIENhYmxlIENoZXN0IFByZXNz</t>
  </si>
  <si>
    <t>Row dumbbell with one arm, staggered stance.</t>
  </si>
  <si>
    <t>Single Arm Sternal Cable Chest Press</t>
  </si>
  <si>
    <t>https://www.youtube.com/watch?v=1iLkzDx57lk&amp;pp=ygUaU2luZ2xlIEFybSBXZWlnaHRlZCBTaXQgVXA%3D</t>
  </si>
  <si>
    <t>Single Arm Weighted Sit Up</t>
  </si>
  <si>
    <t>https://www.youtube.com/watch?v=NcRJ-CpY8Qc&amp;pp=ygUgU2luZ2xlIEtldHRsZWJlbGwgU2hvdWxkZXIgUHJlc3M%3D</t>
  </si>
  <si>
    <t>Perform sit-up holding weight with one arm.</t>
  </si>
  <si>
    <t>Single Kettlebell Shoulder Press</t>
  </si>
  <si>
    <t>https://www.youtube.com/watch?v=rONpWaNIhE8&amp;pp=ygUhU2luZ2xlIExlZyBCYW5kZWQgR2x1dGUgS2lja2JhY2tz</t>
  </si>
  <si>
    <t>Single Leg Banded Glute Kickbacks</t>
  </si>
  <si>
    <t>https://www.youtube.com/watch?v=y-v4seZ7eZ8&amp;pp=ygUUU2luZ2xlIExlZyBCZW50IEtuZWU%3D</t>
  </si>
  <si>
    <t>Kick back one leg using resistance band.</t>
  </si>
  <si>
    <t>Single Leg Bent Knee</t>
  </si>
  <si>
    <t>Stretch, Mobility</t>
  </si>
  <si>
    <t>https://www.youtube.com/watch?v=I7ChaipZVM4&amp;pp=ygURU2luZ2xlIExlZyBCb3VuZHM%3D</t>
  </si>
  <si>
    <t>Bent knee leg lift while seated, engage core.</t>
  </si>
  <si>
    <t>Single Leg Bounds</t>
  </si>
  <si>
    <t>https://www.youtube.com/watch?v=Ru_OVppzC08&amp;pp=ygUXU2luZ2xlIExlZyBCcmlkZ2UgUHJlc3M%3D</t>
  </si>
  <si>
    <t>Perform bounds on one leg, engage legs.</t>
  </si>
  <si>
    <t>Single Leg Bridge Press</t>
  </si>
  <si>
    <t>https://www.youtube.com/watch?v=5kXuVg9tQkE&amp;pp=ygUWU2luZ2xlIExlZyBDaGVzdCBQcmVzcw%3D%3D</t>
  </si>
  <si>
    <t>Lift hips off ground using one leg, engage glutes.</t>
  </si>
  <si>
    <t>Single Leg Chest Press</t>
  </si>
  <si>
    <t>https://www.youtube.com/watch?v=84hrdsHgDuQ&amp;pp=ygUTU2luZ2xlIExlZyBEZWFkbGlmdA%3D%3D</t>
  </si>
  <si>
    <t>Press weight while lying on back, using one leg.</t>
  </si>
  <si>
    <t>Single Leg Deadlift</t>
  </si>
  <si>
    <t>Hamstrings, Glutes</t>
  </si>
  <si>
    <t>https://www.youtube.com/watch?v=NAhgBYD_uKU&amp;pp=ygUaU2luZ2xlIExlZyBEZWFkbGlmdCBQdWxzZXM%3D</t>
  </si>
  <si>
    <t>Hinge hips while lifting leg, engage hamstrings.</t>
  </si>
  <si>
    <t>Single Leg Deadlift Pulses</t>
  </si>
  <si>
    <t>https://www.youtube.com/watch?v=mY8n40rMqk8&amp;pp=ygUeU2luZ2xlIExlZyBFbGV2YXRlZCBIaXAgVGhydXN0</t>
  </si>
  <si>
    <t>Pulse leg back while performing single-leg deadlift.</t>
  </si>
  <si>
    <t>Single Leg Elevated Hip Thrust</t>
  </si>
  <si>
    <t>https://www.youtube.com/watch?v=vdmlNaXSjd4&amp;pp=ygUXU2luZ2xlIExlZyBHbHV0ZSBCcmlkZ2U%3D</t>
  </si>
  <si>
    <t>Hip thrust with one foot elevated, engage glutes.</t>
  </si>
  <si>
    <t>Single Leg Glute Bridge</t>
  </si>
  <si>
    <t>https://www.youtube.com/watch?v=Y1dQUd6OKHk&amp;pp=ygUZU2luZ2xlIExlZyBIYW1zdHJpbmcgQ3VybA%3D%3D</t>
  </si>
  <si>
    <t>Lift hips with one leg, engage glutes.</t>
  </si>
  <si>
    <t>Single Leg Hamstring Curl</t>
  </si>
  <si>
    <t>https://www.youtube.com/watch?v=1Dbd7wStRJg&amp;pp=ygUVU2luZ2xlIGxlZyBoaXAgdGhydXN0</t>
  </si>
  <si>
    <t>Curl leg back while lying down, engage hamstrings.</t>
  </si>
  <si>
    <t>Single leg hip thrust</t>
  </si>
  <si>
    <t>https://www.youtube.com/watch?v=lzDgRRuBdqY&amp;pp=ygUgU2luZ2xlIExlZyBIaXAgVGhydXN0IHdpdGggVGVtcG8%3D</t>
  </si>
  <si>
    <t>Hip thrust on one leg, engage glutes.</t>
  </si>
  <si>
    <t>Single Leg Hip Thrust with Tempo</t>
  </si>
  <si>
    <t>https://www.youtube.com/watch?v=zo2pqw794B0&amp;pp=ygUQU2luZ2xlIExlZyBMaWZ0cw%3D%3D</t>
  </si>
  <si>
    <t>Hip thrust with controlled tempo, one leg.</t>
  </si>
  <si>
    <t>https://www.youtube.com/watch?v=ZYDTJaAM-gE&amp;pp=ygUQU2luZ2xlIExlZyBQcmVzcw%3D%3D</t>
  </si>
  <si>
    <t>Single Leg Press</t>
  </si>
  <si>
    <t>https://www.youtube.com/watch?v=4NUJeFJ14F4&amp;pp=ygUcU2luZ2xlIExlZyBTZWF0ZWQgQ2FsZiBQcmVzcw%3D%3D</t>
  </si>
  <si>
    <t>Press with one leg, engage leg muscles.</t>
  </si>
  <si>
    <t>Single Leg Seated Calf Press</t>
  </si>
  <si>
    <t>https://www.youtube.com/watch?v=gI7ULyY-Mvc&amp;pp=ygUUICAgCSBTaW5nbGUgTGVnIFNraXA%3D</t>
  </si>
  <si>
    <t>Press calf machine with one leg.</t>
  </si>
  <si>
    <t>Single Leg Skip</t>
  </si>
  <si>
    <t>https://www.youtube.com/watch?v=R5ew7Gd5hkg&amp;pp=ygUQU2luZ2xlIExlZyBTcXVhdA%3D%3D</t>
  </si>
  <si>
    <t>Skip on one leg, engage legs.</t>
  </si>
  <si>
    <t>Single Leg Squat</t>
  </si>
  <si>
    <t>https://www.youtube.com/watch?v=IXzdtAeM1qk&amp;pp=ygUUU2luZ2xlIExlZyBTdGFnZ2VyZWQ%3D</t>
  </si>
  <si>
    <t>Squat with one leg, engage leg muscles.</t>
  </si>
  <si>
    <t>Single Leg Staggered</t>
  </si>
  <si>
    <t>https://www.youtube.com/watch?v=FLOAv_bGQXA&amp;pp=ygUTU2luZ2xlIExlZyBTd2l0Y2hlcw%3D%3D</t>
  </si>
  <si>
    <t>Perform exercise with one leg forward, engage legs.</t>
  </si>
  <si>
    <t>Single Leg Switches</t>
  </si>
  <si>
    <t>https://www.youtube.com/watch?v=lENC55jZFK8&amp;pp=ygUUU2luZ2xlIExlZyBUb2UgVG91Y2g%3D</t>
  </si>
  <si>
    <t>Switch legs in jumping or dynamic movement.</t>
  </si>
  <si>
    <t>Single Leg Toe Touch</t>
  </si>
  <si>
    <t>https://www.youtube.com/watch?v=0EIDVDbzVNo&amp;pp=ygUPU2luZ2xlIExlZyBWLVVw</t>
  </si>
  <si>
    <t>Touch toes with one hand while balancing on one leg.</t>
  </si>
  <si>
    <t>Single Leg V-Up</t>
  </si>
  <si>
    <t>https://www.youtube.com/watch?v=L4nTaesNm0E&amp;pp=ygUeU2luZ2xlIExlZyBXZWlnaHRlZCBIaXAgVGhydXN0</t>
  </si>
  <si>
    <t>Perform V-up motion with one leg, engage core.</t>
  </si>
  <si>
    <t>Single Leg Weighted Hip Thrust</t>
  </si>
  <si>
    <t>https://www.youtube.com/watch?v=OvPHAdtKtHk&amp;pp=ygUTU2luZ2xlLUFybSBCYW5kIFJvdw%3D%3D</t>
  </si>
  <si>
    <t>Hip thrust with weight on one leg, engage glutes.</t>
  </si>
  <si>
    <t>Single-Arm Band Row</t>
  </si>
  <si>
    <t>https://www.youtube.com/watch?v=vGGOR4DPDt0&amp;pp=ygUaU2luZ2xlLWFybSBDYWJsZSBDaGVzdCBGbHk%3D</t>
  </si>
  <si>
    <t>Row with resistance band, one arm.</t>
  </si>
  <si>
    <t>Single-arm Cable Chest Fly</t>
  </si>
  <si>
    <t>https://www.youtube.com/watch?v=uVmRqrTcHyc&amp;pp=ygUcU2luZ2xlLWFybSBDYWJsZSBDaGVzdCBQcmVzcw%3D%3D</t>
  </si>
  <si>
    <t>Perform chest fly motion with cable, one arm.</t>
  </si>
  <si>
    <t>Single-arm Cable Chest Press</t>
  </si>
  <si>
    <t>https://www.youtube.com/watch?v=fr3YLE0pueA&amp;pp=ygUjU2luZ2xlLWFybSBDYWJsZSBDb25jZW50cmF0aW9uIEN1cmw%3D</t>
  </si>
  <si>
    <t>Press cable forward with one arm, engage chest.</t>
  </si>
  <si>
    <t>Single-arm Cable Concentration Curl</t>
  </si>
  <si>
    <t>https://www.youtube.com/watch?v=6uEmkzHIIPg&amp;pp=ygUVU2luZ2xlLWFybSBDYWJsZSBDdXJs</t>
  </si>
  <si>
    <t>Curl cable with one arm using a concentration curl.</t>
  </si>
  <si>
    <t>Single-arm Cable Curl</t>
  </si>
  <si>
    <t>https://www.youtube.com/watch?v=9LSa5Jed0hs&amp;pp=ygUmU2luZ2xlLWFybSBDYWJsZSBDdXJsIChTdXBpbmF0ZWQgR3JpcCk%3D</t>
  </si>
  <si>
    <t>Curl cable with one arm, engage biceps.</t>
  </si>
  <si>
    <t>Single-arm Cable Curl (Supinated Grip)</t>
  </si>
  <si>
    <t>https://www.youtube.com/watch?v=0QJaDVZAv8I&amp;pp=ygUcU2luZ2xlLWFybSBDYWJsZSBIYW1tZXIgQ3VybA%3D%3D</t>
  </si>
  <si>
    <t>Curl cable with supinated grip, one arm.</t>
  </si>
  <si>
    <t>Single-arm Cable Hammer Curl</t>
  </si>
  <si>
    <t>https://www.youtube.com/watch?v=HBC5s98wXko&amp;pp=ygUeU2luZ2xlLWFybSBDYWJsZSBMYXQgUHVsbC1Eb3du</t>
  </si>
  <si>
    <t>Curl cable with hammer grip, one arm.</t>
  </si>
  <si>
    <t>Single-arm Cable Lat Pull-Down</t>
  </si>
  <si>
    <t>https://www.youtube.com/watch?v=FGU9j1P5L-w&amp;pp=ygUeU2luZ2xlLWFybSBDYWJsZSBMYXRlcmFsIFJhaXNl</t>
  </si>
  <si>
    <t>Lat pull-down with cable, one arm.</t>
  </si>
  <si>
    <t>Single-arm Cable Lateral Raise</t>
  </si>
  <si>
    <t>https://www.youtube.com/watch?v=idM16Yv4t0Q&amp;pp=ygUfU2luZ2xlLWFybSBDYWJsZSBPdmVyaGVhZCBQcmVzcw%3D%3D</t>
  </si>
  <si>
    <t>Raise arm laterally with cable, one arm.</t>
  </si>
  <si>
    <t>Single-arm Cable Overhead Press</t>
  </si>
  <si>
    <t>https://www.youtube.com/watch?v=4Xf2zwFnY14&amp;pp=ygUqU2luZ2xlLWFybSBDYWJsZSBPdmVyaGVhZCBUcmljZXAgRXh0ZW5zaW9u</t>
  </si>
  <si>
    <t>Press cable overhead with one arm.</t>
  </si>
  <si>
    <t>Single-arm Cable Overhead Tricep Extension</t>
  </si>
  <si>
    <t>https://www.youtube.com/watch?v=8rl4ioij6lc&amp;pp=ygUhU2luZ2xlLWFybSBDYWJsZSBUcmljZXAgRXh0ZW5zaW9u</t>
  </si>
  <si>
    <t>Extend arm overhead with cable, one arm.</t>
  </si>
  <si>
    <t>Single-arm Cable Tricep Extension</t>
  </si>
  <si>
    <t>https://www.youtube.com/watch?v=yY1bRgmHpqc&amp;pp=ygUcU2luZ2xlLWFybSBDYWJsZSBVcHJpZ2h0IFJvdw%3D%3D</t>
  </si>
  <si>
    <t>Single-arm Cable Upright Row</t>
  </si>
  <si>
    <t>https://www.youtube.com/watch?v=d6Ba29xFBnw&amp;pp=ygUfU2luZ2xlLUFybSBEdW1iYmVsbCBCZW5jaCBQcmVzcw%3D%3D</t>
  </si>
  <si>
    <t>Perform upright row with cable, one arm.</t>
  </si>
  <si>
    <t>Single-Arm Dumbbell Bench Press</t>
  </si>
  <si>
    <t>https://youtu.be/tMEGqKuOa-M</t>
  </si>
  <si>
    <t>Press dumbbell while lying on bench, one arm.</t>
  </si>
  <si>
    <t>Single-Arm Dumbbell Curl</t>
  </si>
  <si>
    <t>https://youtu.be/0S0pPgQXWNk</t>
  </si>
  <si>
    <t>Curl dumbbell with one arm, engage biceps.</t>
  </si>
  <si>
    <t>Single-Arm Dumbbell Floor Press</t>
  </si>
  <si>
    <t>https://youtu.be/XCErz4Rwwm0</t>
  </si>
  <si>
    <t>Press dumbbell while lying on floor, one arm.</t>
  </si>
  <si>
    <t>Single-Arm Dumbbell Push Press</t>
  </si>
  <si>
    <t>https://youtu.be/ZsmsBmOMtnw</t>
  </si>
  <si>
    <t>Push press with dumbbell, one arm.</t>
  </si>
  <si>
    <t>Single-Arm Dumbbell Reverse Lunge</t>
  </si>
  <si>
    <t>https://youtu.be/VctKcIQGDCE</t>
  </si>
  <si>
    <t>Lunge backward holding dumbbell, one arm.</t>
  </si>
  <si>
    <t>Single-Arm Dumbbell Reverse Lunge From Deficit</t>
  </si>
  <si>
    <t>https://youtu.be/24DrsyEhezE</t>
  </si>
  <si>
    <t>Backward lunge from deficit with dumbbell, one arm.</t>
  </si>
  <si>
    <t>Single-Arm Dumbbell Reverse Lunge to Romanian Deadlift</t>
  </si>
  <si>
    <t>https://youtu.be/DgODc-R4Nv8</t>
  </si>
  <si>
    <t>Combine reverse lunge with Romanian deadlift.</t>
  </si>
  <si>
    <t>Single-Arm Dumbbell Reverse Lunge With Blocked Knee</t>
  </si>
  <si>
    <t>https://youtu.be/oe0kbAVoyjw</t>
  </si>
  <si>
    <t>Reverse lunge while blocking knee with dumbbell, one arm.</t>
  </si>
  <si>
    <t>Single-Arm Dumbbell Romanian Deadlift</t>
  </si>
  <si>
    <t>https://youtu.be/dFzUjzfih7k</t>
  </si>
  <si>
    <t>Hinge hips with dumbbell, one arm.</t>
  </si>
  <si>
    <t>Single-Arm Dumbbell Row</t>
  </si>
  <si>
    <t>https://youtu.be/VH55xy3kVAQ</t>
  </si>
  <si>
    <t>Row dumbbell, one arm, engage back.</t>
  </si>
  <si>
    <t>Single-Arm Dumbbell Slideboard Reverse Lunge</t>
  </si>
  <si>
    <t>https://youtu.be/MEG6blZtUpc</t>
  </si>
  <si>
    <t>Lunge backward on slideboard, holding dumbbell, one arm.</t>
  </si>
  <si>
    <t>Single-Arm Dumbbell Split Squat</t>
  </si>
  <si>
    <t>https://youtu.be/E76FjHHJGDI</t>
  </si>
  <si>
    <t>Split squat holding dumbbell, one arm.</t>
  </si>
  <si>
    <t>Single-Arm Dumbbell Step-Up</t>
  </si>
  <si>
    <t>https://youtu.be/GcMYpwXGrj8</t>
  </si>
  <si>
    <t>Step up while holding dumbbell, one arm.</t>
  </si>
  <si>
    <t>Single-Arm Face Pull</t>
  </si>
  <si>
    <t>https://youtu.be/TEc27KAq8jI</t>
  </si>
  <si>
    <t>Pull cable to face level, one arm.</t>
  </si>
  <si>
    <t>Single-Arm Half-Kneeling Band Press</t>
  </si>
  <si>
    <t>https://youtu.be/DXGkXHibwXY</t>
  </si>
  <si>
    <t>Press resistance band forward, one arm.</t>
  </si>
  <si>
    <t>Single-Arm Half-Kneeling Band Pull-Down</t>
  </si>
  <si>
    <t>https://youtu.be/2Z0m_i1-nN0</t>
  </si>
  <si>
    <t>Pull down resistance band, one arm.</t>
  </si>
  <si>
    <t>Single-Arm Half-Kneeling Band Row</t>
  </si>
  <si>
    <t>https://youtu.be/5k2Bz_XR37U</t>
  </si>
  <si>
    <t>Row resistance band, one arm.</t>
  </si>
  <si>
    <t>Single-Arm Half-Kneeling Cable Press</t>
  </si>
  <si>
    <t>https://youtu.be/redrpTwkplw</t>
  </si>
  <si>
    <t>Press cable forward, one arm.</t>
  </si>
  <si>
    <t>Single-Arm Half-Kneeling Cable Row</t>
  </si>
  <si>
    <t>https://youtu.be/Bf1pMAIhQ4k</t>
  </si>
  <si>
    <t>Row cable, one arm.</t>
  </si>
  <si>
    <t>Single-Arm Hands-Elevated Pushup</t>
  </si>
  <si>
    <t>https://youtu.be/qKdTGpvA8GM</t>
  </si>
  <si>
    <t>Perform pushup with one hand elevated.</t>
  </si>
  <si>
    <t>Single-Arm Landmine Row</t>
  </si>
  <si>
    <t>https://youtu.be/vVW9LwaahNw</t>
  </si>
  <si>
    <t>Row landmine attachment, one arm.</t>
  </si>
  <si>
    <t>Single-arm Lateral Cable Tricep Extension</t>
  </si>
  <si>
    <t>https://youtu.be/L9-dInqIQus</t>
  </si>
  <si>
    <t>Single-Arm Lying Dumbbell Rolling Triceps Extension</t>
  </si>
  <si>
    <t>https://youtu.be/DvYnG5Uar3M</t>
  </si>
  <si>
    <t>Extend arm overhead while lying, engage triceps.</t>
  </si>
  <si>
    <t>Single-Arm Lying Dumbbell Triceps Extension</t>
  </si>
  <si>
    <t>https://youtu.be/HBC5s98wXko</t>
  </si>
  <si>
    <t>Single-arm Machine Lat Pull-down</t>
  </si>
  <si>
    <t>https://youtube.com/shorts/DoDG6IGCeJw?feature=share</t>
  </si>
  <si>
    <t>Perform lat pull-down with one arm on machine.</t>
  </si>
  <si>
    <t>Single-arm Machine Preacher Curl</t>
  </si>
  <si>
    <t>https://youtu.be/8Mxrz-S6XD0</t>
  </si>
  <si>
    <t>Curl machine bar with one arm, engage biceps.</t>
  </si>
  <si>
    <t>Single-Arm Overhead Band Press</t>
  </si>
  <si>
    <t>https://youtu.be/qXfx8Iij3xo</t>
  </si>
  <si>
    <t>Press resistance band overhead, one arm.</t>
  </si>
  <si>
    <t>Single-Arm Overhead Dumbbell Reverse Lunge</t>
  </si>
  <si>
    <t>Single-Arm Overhead Dumbbell Reverse Lunge From Deficit</t>
  </si>
  <si>
    <t>https://youtu.be/7r-NgvMgHVI</t>
  </si>
  <si>
    <t>Backward lunge from deficit holding dumbbell, one arm.</t>
  </si>
  <si>
    <t>Single-Arm Plank</t>
  </si>
  <si>
    <t>https://youtu.be/1SEBudQXTjA</t>
  </si>
  <si>
    <t>Hold plank position with one arm on floor.</t>
  </si>
  <si>
    <t>Single-Arm Plate Curl</t>
  </si>
  <si>
    <t>Curl weight plate with one arm.</t>
  </si>
  <si>
    <t>Single-Arm Rows</t>
  </si>
  <si>
    <t>https://youtu.be/CrylzZHfO1c</t>
  </si>
  <si>
    <t>Perform row motion with one arm.</t>
  </si>
  <si>
    <t>Single-arm Seated Cable Row</t>
  </si>
  <si>
    <t>https://youtu.be/9DB2kibw0os</t>
  </si>
  <si>
    <t>Row cable while seated, one arm.</t>
  </si>
  <si>
    <t>Single-Arm Seated Overhead Dumbbell Press</t>
  </si>
  <si>
    <t>https://youtu.be/Tz-eIqfB-1Y</t>
  </si>
  <si>
    <t>Press dumbbell overhead while seated, one arm.</t>
  </si>
  <si>
    <t>Single-Arm Standing Band Row</t>
  </si>
  <si>
    <t>https://youtu.be/_z5NMUxkxxw</t>
  </si>
  <si>
    <t>Perform row motion with resistance band, one arm.</t>
  </si>
  <si>
    <t>Single-Arm Standing Cable Row</t>
  </si>
  <si>
    <t>https://youtu.be/nuZ8vgL0vRA</t>
  </si>
  <si>
    <t>Row cable while standing, one arm.</t>
  </si>
  <si>
    <t>Single-Arm Standing Split-Stance Band Press</t>
  </si>
  <si>
    <t>https://youtu.be/7NfAcIJqNn8</t>
  </si>
  <si>
    <t>Single-Arm Standing Split-Stance Band Row</t>
  </si>
  <si>
    <t>https://youtu.be/RaNrQRI9MFI</t>
  </si>
  <si>
    <t>Single-Arm Standing Split-Stance Cable Press</t>
  </si>
  <si>
    <t>https://youtu.be/GQZ9Hy6XN9Q</t>
  </si>
  <si>
    <t>Single-Arm Standing Split-Stance Cable Row</t>
  </si>
  <si>
    <t>https://youtu.be/45N-2_m7VI8</t>
  </si>
  <si>
    <t>Perform row motion with cable, one arm.</t>
  </si>
  <si>
    <t>Single-Arm Tall-Kneeling Overhead Dumbbell Press</t>
  </si>
  <si>
    <t>https://youtu.be/amOGPorzJWE</t>
  </si>
  <si>
    <t>Press dumbbell overhead while kneeling, one arm.</t>
  </si>
  <si>
    <t>Single-Arm Walking Dumbbell Farmer’s Carry</t>
  </si>
  <si>
    <t>https://youtu.be/8cTohcawjCM</t>
  </si>
  <si>
    <t>Walk with dumbbell in one hand, engage core.</t>
  </si>
  <si>
    <t>Single-Leg Band-Resisted Pushup</t>
  </si>
  <si>
    <t>https://youtube.com/shorts/qup91bTHwH8?feature=share</t>
  </si>
  <si>
    <t>Pushup with one leg elevated, engage core.</t>
  </si>
  <si>
    <t>Single-Leg Band-Resisted Romanian Deadlift</t>
  </si>
  <si>
    <t>https://youtu.be/GNY0RKIvkH0</t>
  </si>
  <si>
    <t>Romanian deadlift with one leg, resistance band.</t>
  </si>
  <si>
    <t>Single-Leg Barbell Glute Bridge</t>
  </si>
  <si>
    <t>https://youtu.be/4QoBQlZswBg</t>
  </si>
  <si>
    <t>Hip thrust with one leg, engage glutes.</t>
  </si>
  <si>
    <t>Single-Leg Barbell Romanian Deadlift</t>
  </si>
  <si>
    <t>https://youtu.be/1u5ZDhtYC8s</t>
  </si>
  <si>
    <t>Hinge hips with one leg, hold barbell.</t>
  </si>
  <si>
    <t>Single-leg DB Glute Bridge</t>
  </si>
  <si>
    <t>https://youtu.be/lI8-igvsnVQ</t>
  </si>
  <si>
    <t>Hip thrust with one leg, hold dumbbell.</t>
  </si>
  <si>
    <t>Single-leg DB RDL</t>
  </si>
  <si>
    <t>https://youtu.be/4I6txKzGkzk</t>
  </si>
  <si>
    <t>Hinge hips with one leg, hold dumbbell.</t>
  </si>
  <si>
    <t>Single-Leg Dumbbell Romanian Deadlift</t>
  </si>
  <si>
    <t>https://youtu.be/ukuHfg8LvHs</t>
  </si>
  <si>
    <t>Single-Leg Eccentric Squat to Box</t>
  </si>
  <si>
    <t>https://youtu.be/M-sEYls8jRU</t>
  </si>
  <si>
    <t>Lower slowly to box with one leg, engage quads.</t>
  </si>
  <si>
    <t>Single-Leg Feet-Elevated Band-Resisted Pushup</t>
  </si>
  <si>
    <t>https://youtu.be/8D2hRCm_CoI</t>
  </si>
  <si>
    <t>Pushup with one leg elevated, use resistance band.</t>
  </si>
  <si>
    <t>Single-Leg Feet-Elevated Pushup</t>
  </si>
  <si>
    <t>https://youtu.be/b1zTCyGJXCQ</t>
  </si>
  <si>
    <t>Pushup with one leg elevated.</t>
  </si>
  <si>
    <t>Single-Leg Glute Bridge</t>
  </si>
  <si>
    <t>https://youtu.be/1Dbd7wStRJg</t>
  </si>
  <si>
    <t>Lift hips off ground with one leg, engage glutes.</t>
  </si>
  <si>
    <t>Single-Leg Hip Thrust</t>
  </si>
  <si>
    <t>https://youtu.be/ZYDTJaAM-gE</t>
  </si>
  <si>
    <t>Single-leg Leg Press</t>
  </si>
  <si>
    <t>https://youtu.be/lQSlJHtsnRA</t>
  </si>
  <si>
    <t>Leg press with one leg, engage leg muscles.</t>
  </si>
  <si>
    <t>Single-leg Lying Leg Curl</t>
  </si>
  <si>
    <t>https://youtu.be/0NjTj5J-F1g</t>
  </si>
  <si>
    <t>Curl leg back while lying down, one leg.</t>
  </si>
  <si>
    <t>Single-Leg Offset Dumbbell Romanian Deadlift</t>
  </si>
  <si>
    <t>https://youtu.be/OgkpItr9DOY</t>
  </si>
  <si>
    <t>Single-Leg Plank</t>
  </si>
  <si>
    <t>https://youtu.be/cM9Fc-Lfv0A</t>
  </si>
  <si>
    <t>Hold plank position with one leg raised.</t>
  </si>
  <si>
    <t>Single-Leg Pushup</t>
  </si>
  <si>
    <t>https://youtu.be/82IuSLk5zNc</t>
  </si>
  <si>
    <t>Single-leg Seated Leg Extension</t>
  </si>
  <si>
    <t>https://youtu.be/mEoAgOIjOXI</t>
  </si>
  <si>
    <t>Leg extension machine with one leg, engage quads.</t>
  </si>
  <si>
    <t>Single-Leg Single-Arm Dumbbell Romanian Deadlift</t>
  </si>
  <si>
    <t>https://youtu.be/0LnYSmuZ0xg</t>
  </si>
  <si>
    <t>Hinge hips with one leg while holding dumbbell.</t>
  </si>
  <si>
    <t>Single-Leg Slideboard Bodysaw</t>
  </si>
  <si>
    <t>https://youtu.be/L5ljNgP5KQY</t>
  </si>
  <si>
    <t>Perform bodysaw on slideboard with one leg.</t>
  </si>
  <si>
    <t>Single-Leg Slideboard Leg Curl</t>
  </si>
  <si>
    <t>https://youtu.be/R5ew7Gd5hkg</t>
  </si>
  <si>
    <t>Curl leg back on slideboard with one leg.</t>
  </si>
  <si>
    <t>Single-Leg Squat</t>
  </si>
  <si>
    <t>https://youtu.be/uJ4eA2wUXdw</t>
  </si>
  <si>
    <t>Single-Leg Squat to Box</t>
  </si>
  <si>
    <t>https://youtu.be/VUiFlZ2FsKA</t>
  </si>
  <si>
    <t>Squat to box with one leg, engage leg muscles.</t>
  </si>
  <si>
    <t>Sissy Squats</t>
  </si>
  <si>
    <t>https://youtu.be/gAPffOEheYI</t>
  </si>
  <si>
    <t>Perform sissy squats, engage quads.</t>
  </si>
  <si>
    <t>Sit Up + Throw Punches</t>
  </si>
  <si>
    <t>https://youtu.be/9C1yGA0Il-o</t>
  </si>
  <si>
    <t>Perform sit-up and throw punches.</t>
  </si>
  <si>
    <t>Sit Up and Twist</t>
  </si>
  <si>
    <t>https://youtu.be/lGTESnlDcgU</t>
  </si>
  <si>
    <t>Perform sit-up and twist torso.</t>
  </si>
  <si>
    <t>Sit Up Punches</t>
  </si>
  <si>
    <t>https://youtu.be/panVpr1Dz68</t>
  </si>
  <si>
    <t>Perform sit-up while punching forward.</t>
  </si>
  <si>
    <t>Sit Up to Stand Up</t>
  </si>
  <si>
    <t>https://youtu.be/D0Yoa0_cfkk</t>
  </si>
  <si>
    <t>Transition from sit-up to standing.</t>
  </si>
  <si>
    <t>Sit Up to Wall Throw</t>
  </si>
  <si>
    <t>https://youtu.be/LF1gOCOS5nk</t>
  </si>
  <si>
    <t>Throw a wall ball while performing a sit-up.</t>
  </si>
  <si>
    <t>Sitting Knee to Chest Stretch</t>
  </si>
  <si>
    <t>Lower Back, Hips</t>
  </si>
  <si>
    <t>https://youtu.be/P9IAAME-1zw</t>
  </si>
  <si>
    <t>Stretch by bringing knee to chest while sitting.</t>
  </si>
  <si>
    <t>Skater Hops</t>
  </si>
  <si>
    <t>https://youtu.be/4RuxhVJ4-pg</t>
  </si>
  <si>
    <t>Jump side to side, mimicking ice skaters.</t>
  </si>
  <si>
    <t>Skaters</t>
  </si>
  <si>
    <t>https://youtu.be/m9MccH7mWO0</t>
  </si>
  <si>
    <t>Jump side to side, imitating ice skaters.</t>
  </si>
  <si>
    <t>Skipping</t>
  </si>
  <si>
    <t>https://youtu.be/d_KZxkY_0cM</t>
  </si>
  <si>
    <t>Jump repeatedly over a rope.</t>
  </si>
  <si>
    <t>Skull Crushers</t>
  </si>
  <si>
    <t>https://youtu.be/D3_p8bO4bPE</t>
  </si>
  <si>
    <t>Extend arms while lying down, engage triceps.</t>
  </si>
  <si>
    <t>Skull Crushers to Hip Thrust</t>
  </si>
  <si>
    <t>Triceps, Glutes</t>
  </si>
  <si>
    <t>Combine skull crushers with hip thrust.</t>
  </si>
  <si>
    <t>Skullcrushers</t>
  </si>
  <si>
    <t>https://youtu.be/ReDTlAiHpdk</t>
  </si>
  <si>
    <t>Sled Pull</t>
  </si>
  <si>
    <t>https://youtu.be/9XRRXaUpnLk</t>
  </si>
  <si>
    <t>Pull sled loaded with weight.</t>
  </si>
  <si>
    <t>Sled Push</t>
  </si>
  <si>
    <t>https://youtu.be/mZ-GmcmSb6E</t>
  </si>
  <si>
    <t>Push sled loaded with weight.</t>
  </si>
  <si>
    <t>Slideboard Bodysaw</t>
  </si>
  <si>
    <t>https://youtu.be/0w47384zyIk</t>
  </si>
  <si>
    <t>Perform bodysaw on slideboard.</t>
  </si>
  <si>
    <t>Slideboard Leg Curl</t>
  </si>
  <si>
    <t>https://youtu.be/yMR95SIxwr0</t>
  </si>
  <si>
    <t>Curl legs back on slideboard.</t>
  </si>
  <si>
    <t>Slip Floor Bridge Curl</t>
  </si>
  <si>
    <t>https://youtube.com/shorts/pGtdgrL5wmA?feature=share</t>
  </si>
  <si>
    <t>Perform bridge curling motion.</t>
  </si>
  <si>
    <t>Slow Tempo Lateral Step Downs</t>
  </si>
  <si>
    <t>https://youtu.be/z_r6hDOYtO0</t>
  </si>
  <si>
    <t>Step down with slow tempo to side.</t>
  </si>
  <si>
    <t>Smith Machine Bench Press</t>
  </si>
  <si>
    <t>https://youtu.be/k95QyBwSoto</t>
  </si>
  <si>
    <t>Bench press on Smith machine.</t>
  </si>
  <si>
    <t>Smith Machine Bent Over Row</t>
  </si>
  <si>
    <t>https://youtu.be/3VP9HV1nAyQ</t>
  </si>
  <si>
    <t>Row barbell while leaning over, Smith machine.</t>
  </si>
  <si>
    <t>Smith Machine Close-Grip Bench Press</t>
  </si>
  <si>
    <t>https://youtu.be/39qwRmE6ffc</t>
  </si>
  <si>
    <t>Close-grip bench press on Smith machine.</t>
  </si>
  <si>
    <t>Smith Machine Decline Chest Press</t>
  </si>
  <si>
    <t>https://youtu.be/8Tp_Hx1jdSc</t>
  </si>
  <si>
    <t>Decline chest press on Smith machine.</t>
  </si>
  <si>
    <t>Smith Machine Good Morning</t>
  </si>
  <si>
    <t>https://youtu.be/vzqoYIf8T9c</t>
  </si>
  <si>
    <t>Hinge hips forward with barbell, Smith machine.</t>
  </si>
  <si>
    <t>Smith Machine Hack Squat</t>
  </si>
  <si>
    <t>https://youtu.be/b8DqTO6ak0k</t>
  </si>
  <si>
    <t>Squat on machine with hack squat attachment.</t>
  </si>
  <si>
    <t>Smith Machine Incline Bench Press</t>
  </si>
  <si>
    <t>https://youtu.be/jQVOV0NlF_I</t>
  </si>
  <si>
    <t>Incline bench press on Smith machine.</t>
  </si>
  <si>
    <t>Smith Machine Rack Pulls</t>
  </si>
  <si>
    <t>https://youtu.be/NBR6tozmx2I</t>
  </si>
  <si>
    <t>Pull barbell while standing, Smith machine.</t>
  </si>
  <si>
    <t>Smith Machine RDL</t>
  </si>
  <si>
    <t>https://youtu.be/evtRb6cPF-Q</t>
  </si>
  <si>
    <t>Hinge hips back with barbell, Smith machine.</t>
  </si>
  <si>
    <t>Smith Machine Shoulder Press</t>
  </si>
  <si>
    <t>https://youtube.com/shorts/3PpzYOubZ5A?feature=share</t>
  </si>
  <si>
    <t>Press barbell overhead, Smith machine.</t>
  </si>
  <si>
    <t>Smith Machine Squat</t>
  </si>
  <si>
    <t>https://youtu.be/avO_qtvHJAg</t>
  </si>
  <si>
    <t>Perform squat on Smith machine.</t>
  </si>
  <si>
    <t>Smith Machine Standing Calf Raise</t>
  </si>
  <si>
    <t>https://youtu.be/ZjzUNteZPd8</t>
  </si>
  <si>
    <t>Calf raises on Smith machine.</t>
  </si>
  <si>
    <t>Smith Machine Supinated Row</t>
  </si>
  <si>
    <t>https://youtu.be/S4WRgOOR_QQ</t>
  </si>
  <si>
    <t>Row barbell while standing, Smith machine.</t>
  </si>
  <si>
    <t>Snatch Grip Barbell Shrugs</t>
  </si>
  <si>
    <t>Shoulders, Traps</t>
  </si>
  <si>
    <t>https://youtu.be/a4-MC4W1_4Y</t>
  </si>
  <si>
    <t>Shrug barbell with wide grip.</t>
  </si>
  <si>
    <t>Snatch Grip Deadlift</t>
  </si>
  <si>
    <t>https://youtu.be/lWEBiB42FZ8</t>
  </si>
  <si>
    <t>Deadlift barbell with wide grip.</t>
  </si>
  <si>
    <t>Speed Squat</t>
  </si>
  <si>
    <t>https://youtu.be/CoHUM6vdjog</t>
  </si>
  <si>
    <t>Perform squats at a faster pace.</t>
  </si>
  <si>
    <t>Spiderman Crunches</t>
  </si>
  <si>
    <t>https://youtu.be/swPMrVWhplk</t>
  </si>
  <si>
    <t>Crunch toward knee in plank position.</t>
  </si>
  <si>
    <t>Spiderman Pushup</t>
  </si>
  <si>
    <t>https://youtu.be/RunvqFmuSuQ</t>
  </si>
  <si>
    <t>Perform pushup with knee toward elbow.</t>
  </si>
  <si>
    <t>Split-Stance Dumbbell Push Press</t>
  </si>
  <si>
    <t>https://youtu.be/1-8Ow8vZhm4</t>
  </si>
  <si>
    <t>Press dumbbells overhead in split stance.</t>
  </si>
  <si>
    <t>Sprinters Crunch</t>
  </si>
  <si>
    <t>https://youtu.be/QqvTW0pzLFw</t>
  </si>
  <si>
    <t>Crunch while bringing opposite elbow to knee.</t>
  </si>
  <si>
    <t>https://youtu.be/40GsrBtU_oI</t>
  </si>
  <si>
    <t>Squat with three different tempos.</t>
  </si>
  <si>
    <t>Squat Hops Side to Side</t>
  </si>
  <si>
    <t>https://youtu.be/5Ho5qnjksYo</t>
  </si>
  <si>
    <t>Hop side to side while squatting.</t>
  </si>
  <si>
    <t>Squat Jump to Overhead Press</t>
  </si>
  <si>
    <t>https://youtu.be/FCmQN5bj7dY</t>
  </si>
  <si>
    <t>Jump and press weight overhead.</t>
  </si>
  <si>
    <t>Squat Jump to Pulse</t>
  </si>
  <si>
    <t>Jump squat with pulsing motion.</t>
  </si>
  <si>
    <t>Squat Jump with Press</t>
  </si>
  <si>
    <t>https://youtu.be/A-cFYWvaHr0</t>
  </si>
  <si>
    <t>Jump squat with overhead press.</t>
  </si>
  <si>
    <t>Squat Jumps</t>
  </si>
  <si>
    <t>https://youtu.be/N4fzbBv4BFI</t>
  </si>
  <si>
    <t>Perform consecutive jumping squats.</t>
  </si>
  <si>
    <t>Squat Pulse</t>
  </si>
  <si>
    <t>https://youtube.com/shorts/OpiE9QGKfuo?feature=share</t>
  </si>
  <si>
    <t>Perform pulsing squat motion.</t>
  </si>
  <si>
    <t>Squat Pulses with Isometric Hold</t>
  </si>
  <si>
    <t>https://youtu.be/Id-g0YHkuVo</t>
  </si>
  <si>
    <t>Pulse squat with isometric hold.</t>
  </si>
  <si>
    <t>Squat Thrusters</t>
  </si>
  <si>
    <t>https://youtu.be/HFDFimq5cus</t>
  </si>
  <si>
    <t>Combine squat and overhead press.</t>
  </si>
  <si>
    <t>Squat to Diagonal Press</t>
  </si>
  <si>
    <t>https://youtu.be/VZObelUFlWM</t>
  </si>
  <si>
    <t>Squat and press weight diagonally overhead.</t>
  </si>
  <si>
    <t>Squat to Good Morning</t>
  </si>
  <si>
    <t>https://youtu.be/5F43-LTIBgY</t>
  </si>
  <si>
    <t>Transition from squat to good morning stance.</t>
  </si>
  <si>
    <t>Squat to Oblique Crunch</t>
  </si>
  <si>
    <t>https://youtu.be/7JtzNydMIJ8</t>
  </si>
  <si>
    <t>Squat and crunch to side with rotation.</t>
  </si>
  <si>
    <t>Squat to Press</t>
  </si>
  <si>
    <t>https://youtu.be/VICKgdEj554</t>
  </si>
  <si>
    <t>Squat and press weight overhead.</t>
  </si>
  <si>
    <t>Squat to Side Crunch</t>
  </si>
  <si>
    <t>https://youtu.be/dD9n9gFzawg</t>
  </si>
  <si>
    <t>Squat and crunch to side.</t>
  </si>
  <si>
    <t>Squat to Side Kick</t>
  </si>
  <si>
    <t>https://youtu.be/KNxcFMBgFFU</t>
  </si>
  <si>
    <t>Squat and kick leg to the side.</t>
  </si>
  <si>
    <t>Squat to Stand</t>
  </si>
  <si>
    <t>https://youtu.be/0FWRt_h4-do</t>
  </si>
  <si>
    <t>Transition from squat to standing.</t>
  </si>
  <si>
    <t>Squat to Stand With Overhead Reach</t>
  </si>
  <si>
    <t>https://youtu.be/y7nzAuuW87A</t>
  </si>
  <si>
    <t>Squat and raise arms overhead to stand.</t>
  </si>
  <si>
    <t>Squat to Standing Triple Extension</t>
  </si>
  <si>
    <t>https://youtu.be/_izLJ0giePc</t>
  </si>
  <si>
    <t>Squat and extend hips, knees, and ankles to stand.</t>
  </si>
  <si>
    <t>Squat with Hold</t>
  </si>
  <si>
    <t>https://youtu.be/54C5-VZFxIE</t>
  </si>
  <si>
    <t>Perform squat and hold position.</t>
  </si>
  <si>
    <t>Squatting Hip Internal Rotation</t>
  </si>
  <si>
    <t>https://youtu.be/QVMkcf3uCY0</t>
  </si>
  <si>
    <t>Rotate hips inward while squatting.</t>
  </si>
  <si>
    <t>Stability Ball Hamstring Curls</t>
  </si>
  <si>
    <t>https://youtu.be/zeSD85M2t6c</t>
  </si>
  <si>
    <t>Curl stability ball with feet, engage hamstrings.</t>
  </si>
  <si>
    <t>Stability Ball Rollout</t>
  </si>
  <si>
    <t>https://youtu.be/zmnaA-Mbwws</t>
  </si>
  <si>
    <t>Roll stability ball forward while holding plank.</t>
  </si>
  <si>
    <t>Staggered Alternating Deadlift</t>
  </si>
  <si>
    <t>https://youtu.be/IpXl63ds9NU</t>
  </si>
  <si>
    <t>Deadlift with alternating foot positions.</t>
  </si>
  <si>
    <t>Staggered Deadlift</t>
  </si>
  <si>
    <t>https://youtu.be/Th4QdA2BOyg</t>
  </si>
  <si>
    <t>Deadlift with staggered stance.</t>
  </si>
  <si>
    <t>Staggered Romanian (Stiff Leg)</t>
  </si>
  <si>
    <t>https://youtu.be/sARk1TGYlPU</t>
  </si>
  <si>
    <t>Stiff-legged deadlift with staggered stance.</t>
  </si>
  <si>
    <t>Staggered Single-Arm Row</t>
  </si>
  <si>
    <t>https://youtu.be/gnTpAO-FOwU</t>
  </si>
  <si>
    <t>Row with staggered stance, one arm.</t>
  </si>
  <si>
    <t>Staggered Stance Single Leg DL</t>
  </si>
  <si>
    <t>https://youtu.be/VkNcc0BQrpA</t>
  </si>
  <si>
    <t>Staggered stance deadlift on one leg.</t>
  </si>
  <si>
    <t>Standing Barbell Goodmorning</t>
  </si>
  <si>
    <t>https://youtu.be/2yjwXTZQDDI</t>
  </si>
  <si>
    <t>Hinge hips forward with barbell, engage back.</t>
  </si>
  <si>
    <t>Standing Barbell Overhead Press</t>
  </si>
  <si>
    <t>https://youtu.be/oMW59TKZvaI</t>
  </si>
  <si>
    <t>Press barbell overhead while standing.</t>
  </si>
  <si>
    <t>Standing Butt Kicks</t>
  </si>
  <si>
    <t>Legs, Glutes</t>
  </si>
  <si>
    <t>https://youtu.be/Iwe6AmxVf7o</t>
  </si>
  <si>
    <t>Kick heels to glutes while standing.</t>
  </si>
  <si>
    <t>Standing Cable Chest Fly</t>
  </si>
  <si>
    <t>https://youtu.be/FVWJglwid4I</t>
  </si>
  <si>
    <t>Fly motion with cable, standing.</t>
  </si>
  <si>
    <t>Standing Cable Chest Press</t>
  </si>
  <si>
    <t>https://youtu.be/t3joV_bTf6M</t>
  </si>
  <si>
    <t>Press cable forward, standing.</t>
  </si>
  <si>
    <t>Standing Cable Low Row (Rope)</t>
  </si>
  <si>
    <t>Row cable with rope attachment, standing.</t>
  </si>
  <si>
    <t>Standing Cable Upper Chest Fly</t>
  </si>
  <si>
    <t>https://youtu.be/GAQ-oohMhog</t>
  </si>
  <si>
    <t>Fly motion with cable, upper chest.</t>
  </si>
  <si>
    <t>Standing Calf Raises (machine)</t>
  </si>
  <si>
    <t>https://youtu.be/z1fwSujYhX8</t>
  </si>
  <si>
    <t>Raise heels while standing on calf raise machine.</t>
  </si>
  <si>
    <t>Standing Elbow to Knee</t>
  </si>
  <si>
    <t>https://youtu.be/EygfY8ByyhQ</t>
  </si>
  <si>
    <t>Bring elbow to opposite knee, standing.</t>
  </si>
  <si>
    <t>Standing MB Lift and Chop</t>
  </si>
  <si>
    <t>https://youtu.be/Z-erdZrQVCw</t>
  </si>
  <si>
    <t>Lift medicine ball and chop down, standing.</t>
  </si>
  <si>
    <t>Standing Oblique Crunch</t>
  </si>
  <si>
    <t>https://youtu.be/7SF7AYh2_Yw</t>
  </si>
  <si>
    <t>Crunch to the side while standing.</t>
  </si>
  <si>
    <t>Standing One Leg Hold</t>
  </si>
  <si>
    <t>Legs, Balance</t>
  </si>
  <si>
    <t>https://youtu.be/t0dgz5Uxfqo</t>
  </si>
  <si>
    <t>Hold one leg up while standing.</t>
  </si>
  <si>
    <t>Standing Opposite Toe Taps</t>
  </si>
  <si>
    <t>Core, Balance</t>
  </si>
  <si>
    <t>https://youtu.be/M2rwvNhTOu0</t>
  </si>
  <si>
    <t>Tap opposite toes while standing.</t>
  </si>
  <si>
    <t>Standing Overhead Press</t>
  </si>
  <si>
    <t>https://www.youtube.com/watch?v=YqkTy0TgHEA</t>
  </si>
  <si>
    <t>Press weight overhead while standing.</t>
  </si>
  <si>
    <t>Standing Palloffs</t>
  </si>
  <si>
    <t>https://youtu.be/OOe_HrNnQWw</t>
  </si>
  <si>
    <t>Perform Palloff press, standing.</t>
  </si>
  <si>
    <t>Standing Shoulder Press</t>
  </si>
  <si>
    <t>https://youtu.be/rff0s7aBhnE</t>
  </si>
  <si>
    <t>Press weight overhead, standing.</t>
  </si>
  <si>
    <t>Standing Single Leg Arm Press</t>
  </si>
  <si>
    <t>Press weight overhead with one arm, one leg.</t>
  </si>
  <si>
    <t>Standing Single-arm Cable Row (Normal)</t>
  </si>
  <si>
    <t>https://youtu.be/PWQ9xEVNwkQ</t>
  </si>
  <si>
    <t>Standing Single-arm DB Overhead Press</t>
  </si>
  <si>
    <t>https://youtu.be/5KZF1xdgA-A</t>
  </si>
  <si>
    <t>Press dumbbell overhead, one arm.</t>
  </si>
  <si>
    <t>Standing Split-Stance Landmine Press</t>
  </si>
  <si>
    <t>https://www.youtube.com/watch?v=wuFsq9tOsfs</t>
  </si>
  <si>
    <t>Press barbell overhead, split stance.</t>
  </si>
  <si>
    <t>Standing Strict Overhead Press</t>
  </si>
  <si>
    <t>https://youtu.be/PWmNVcs8rJY</t>
  </si>
  <si>
    <t>Press weight overhead with strict form.</t>
  </si>
  <si>
    <t>Standing Thoracic Extension Rotation</t>
  </si>
  <si>
    <t>https://youtu.be/-Vyt2QdsR7E</t>
  </si>
  <si>
    <t>Rotate torso while standing to extend thoracic spine.</t>
  </si>
  <si>
    <t>Standing Tricep Extension</t>
  </si>
  <si>
    <t>https://youtu.be/EnJTqLyH9ZI</t>
  </si>
  <si>
    <t>Extend arm downward, engage triceps.</t>
  </si>
  <si>
    <t>Standing Trunk Rotations</t>
  </si>
  <si>
    <t>https://youtu.be/xoZMv_YJtkA</t>
  </si>
  <si>
    <t>Rotate torso side to side, engage core.</t>
  </si>
  <si>
    <t>Static Lunge</t>
  </si>
  <si>
    <t>https://youtu.be/ee3lC7iLfss</t>
  </si>
  <si>
    <t>Lunge with static position, alternating legs.</t>
  </si>
  <si>
    <t>Step Downs</t>
  </si>
  <si>
    <t>https://youtu.be/WCFCdxzFBa4</t>
  </si>
  <si>
    <t>Step down from an elevated surface.</t>
  </si>
  <si>
    <t>Step Ups w/ Knee Drive</t>
  </si>
  <si>
    <t>https://youtu.be/r_6Fzs8nM3g</t>
  </si>
  <si>
    <t>Step up while driving knee upward.</t>
  </si>
  <si>
    <t>https://youtu.be/LFv4Gp_QDAg</t>
  </si>
  <si>
    <t>Stick Dislocates</t>
  </si>
  <si>
    <t>https://youtu.be/5VA1qaRwaeU</t>
  </si>
  <si>
    <t>Rotate shoulders while holding stick.</t>
  </si>
  <si>
    <t>Stick Pass Through</t>
  </si>
  <si>
    <t>Shoulders, Mobility</t>
  </si>
  <si>
    <t>https://youtu.be/DCDTnGzawUI</t>
  </si>
  <si>
    <t>Pass stick overhead in front.</t>
  </si>
  <si>
    <t>Stiff Leg Dead Lift to High Pull</t>
  </si>
  <si>
    <t>https://youtu.be/cYKYGwcg0U8</t>
  </si>
  <si>
    <t>Combine stiff leg deadlift with high pull.</t>
  </si>
  <si>
    <t>Stiff Leg Deadlift</t>
  </si>
  <si>
    <t>Hamstrings, Back</t>
  </si>
  <si>
    <t>Hinge hips forward, engage hamstrings.</t>
  </si>
  <si>
    <t>Stiff Leg Deadlift to High Pull</t>
  </si>
  <si>
    <t>Legs, Back, Shoulders</t>
  </si>
  <si>
    <t>https://youtu.be/USpmiOk61Ek</t>
  </si>
  <si>
    <t>Stiff Leg/Romanian Deadlift</t>
  </si>
  <si>
    <t>https://youtu.be/YakK6YFw6Cc</t>
  </si>
  <si>
    <t>Hinge hips back while keeping legs straight.</t>
  </si>
  <si>
    <t>Stiff- Leg Deadlift to Bent Over Row</t>
  </si>
  <si>
    <t>https://youtu.be/0aCnSOxplvs</t>
  </si>
  <si>
    <t>Combine stiff leg deadlift with bent over row.</t>
  </si>
  <si>
    <t>Stir-The-Pot</t>
  </si>
  <si>
    <t>https://youtu.be/geS0bvXXD08</t>
  </si>
  <si>
    <t>Perform circular motion with arms while holding plank.</t>
  </si>
  <si>
    <t>Straddle Pulses</t>
  </si>
  <si>
    <t>https://youtu.be/wcVDItawocI</t>
  </si>
  <si>
    <t>Perform pulses in straddle position.</t>
  </si>
  <si>
    <t>Straight Bar Cable Pulldown</t>
  </si>
  <si>
    <t>https://youtu.be/WT5ZiYYbVLw</t>
  </si>
  <si>
    <t>Pull straight bar down with cable machine.</t>
  </si>
  <si>
    <t>Straight Leg Sit-Ups</t>
  </si>
  <si>
    <t>https://youtu.be/q4pyKNE8_C4</t>
  </si>
  <si>
    <t>Perform sit-ups with straight legs.</t>
  </si>
  <si>
    <t>Straight Leg V-Ups</t>
  </si>
  <si>
    <t>https://youtu.be/upm2TFlO_r0</t>
  </si>
  <si>
    <t>Perform V-ups with straight legs.</t>
  </si>
  <si>
    <t>Stretch - Arm Sweep</t>
  </si>
  <si>
    <t>Shoulder Mobility</t>
  </si>
  <si>
    <t>https://youtu.be/tT00XNqJ3uA</t>
  </si>
  <si>
    <t>Stretch arms by sweeping motion.</t>
  </si>
  <si>
    <t>Stretch - Catcow</t>
  </si>
  <si>
    <t>Spinal Mobility</t>
  </si>
  <si>
    <t>https://youtu.be/q-_M3Cfqmj4</t>
  </si>
  <si>
    <t>Stretch spine through cat-cow motion.</t>
  </si>
  <si>
    <t>Stretch - Child's Pose</t>
  </si>
  <si>
    <t>Relaxation, Stretch</t>
  </si>
  <si>
    <t>https://youtu.be/jwoTJNgh8BY</t>
  </si>
  <si>
    <t>Relaxing stretch in child's pose.</t>
  </si>
  <si>
    <t>Stretch - Full Cobra</t>
  </si>
  <si>
    <t>Spinal Stretch</t>
  </si>
  <si>
    <t>https://youtu.be/SIdaMvrufa0</t>
  </si>
  <si>
    <t>Stretch back in full cobra pose.</t>
  </si>
  <si>
    <t>Stretch - Modified Pigeon Pose</t>
  </si>
  <si>
    <t>https://youtu.be/HSE2XCoMosk</t>
  </si>
  <si>
    <t>Modified pigeon stretch for hip flexibility.</t>
  </si>
  <si>
    <t>Stretch - Pidgeon Pose</t>
  </si>
  <si>
    <t>https://youtu.be/J9nSWwSXUbU</t>
  </si>
  <si>
    <t>Stretch hip flexors in pigeon pose.</t>
  </si>
  <si>
    <t>Strict Overhead Press</t>
  </si>
  <si>
    <t>https://youtu.be/tNHdx7pmrGI</t>
  </si>
  <si>
    <t>Suitcase Carry</t>
  </si>
  <si>
    <t>Core, Grip Strength</t>
  </si>
  <si>
    <t>https://youtu.be/cDlOSfu-zHY</t>
  </si>
  <si>
    <t>Carry weight on one side.</t>
  </si>
  <si>
    <t>Sumo Deadlift</t>
  </si>
  <si>
    <t>Lift with wide stance and sumo grip.</t>
  </si>
  <si>
    <t>Sumo Squat</t>
  </si>
  <si>
    <t>https://youtu.be/kjlfpqXnyL8</t>
  </si>
  <si>
    <t>Squat with wide stance.</t>
  </si>
  <si>
    <t>Sumo Squat Jumps</t>
  </si>
  <si>
    <t>https://youtu.be/wg1aM2MLynM</t>
  </si>
  <si>
    <t>Jump while in sumo squat position.</t>
  </si>
  <si>
    <t>Sumo Squat Pulses</t>
  </si>
  <si>
    <t>https://youtu.be/2SvNjQHHCx8</t>
  </si>
  <si>
    <t>Pulse in sumo squat stance.</t>
  </si>
  <si>
    <t>Sumo Squat to Overhead Press</t>
  </si>
  <si>
    <t>https://youtu.be/5nUrHJJv08M</t>
  </si>
  <si>
    <t>Combine sumo squat with overhead press.</t>
  </si>
  <si>
    <t>Sumo Squat to Upright Row</t>
  </si>
  <si>
    <t>https://youtu.be/FAIo7kzC3us</t>
  </si>
  <si>
    <t>Combine sumo squat with upright row.</t>
  </si>
  <si>
    <t>Sumo Stance Deadlift (wide stance)</t>
  </si>
  <si>
    <t>https://youtu.be/1v4r9hht_K4</t>
  </si>
  <si>
    <t>Deadlift with wide sumo stance.</t>
  </si>
  <si>
    <t>Super Couch Stretch</t>
  </si>
  <si>
    <t>Hip Flexors, Quads</t>
  </si>
  <si>
    <t>https://youtu.be/Fg-lwNBzVV8</t>
  </si>
  <si>
    <t>Intense hip flexor and quad stretch.</t>
  </si>
  <si>
    <t>Superman</t>
  </si>
  <si>
    <t>https://youtu.be/J9zXkxUAfUA</t>
  </si>
  <si>
    <t>Extend arms and legs while lying down.</t>
  </si>
  <si>
    <t>Superman Plank</t>
  </si>
  <si>
    <t>https://youtu.be/uy9WZN-ktNc</t>
  </si>
  <si>
    <t>Plank while extending opposite arm and leg.</t>
  </si>
  <si>
    <t>Supinated Front Raises</t>
  </si>
  <si>
    <t>https://youtu.be/FmT4hayWoJA</t>
  </si>
  <si>
    <t>Raise weight in front with supinated grip.</t>
  </si>
  <si>
    <t>Supinated Incline Raise</t>
  </si>
  <si>
    <t>https://youtu.be/9QqrXC0NtiQ</t>
  </si>
  <si>
    <t>Raise weight while inclining, supinated grip.</t>
  </si>
  <si>
    <t>Supinated Row (Palms Up)</t>
  </si>
  <si>
    <t>https://youtu.be/oWnuU53nU-w</t>
  </si>
  <si>
    <t>Row with palms facing upward.</t>
  </si>
  <si>
    <t>Supine Banded No Money Drill</t>
  </si>
  <si>
    <t>https://youtu.be/Ma_naTzTb4Q</t>
  </si>
  <si>
    <t>Perform "No Money" drill while lying on back.</t>
  </si>
  <si>
    <t>Supine Banded Scapular Protraction</t>
  </si>
  <si>
    <t>https://youtu.be/29WoMxbio9w</t>
  </si>
  <si>
    <t>Protract scapulae with band, lying down.</t>
  </si>
  <si>
    <t>Supine Frog Pump</t>
  </si>
  <si>
    <t>https://youtu.be/bUL1Lqb6JUg</t>
  </si>
  <si>
    <t>Activate glutes with frog pump motion.</t>
  </si>
  <si>
    <t>Supine Glute Bridge</t>
  </si>
  <si>
    <t>https://youtu.be/8j9boZPcHX8</t>
  </si>
  <si>
    <t>Bridge motion with emphasis on glutes.</t>
  </si>
  <si>
    <t>Supine Hips-Extended Leg Curl</t>
  </si>
  <si>
    <t>https://youtu.be/YCle1o8ovJ8</t>
  </si>
  <si>
    <t>Perform hamstring curl while lying down.</t>
  </si>
  <si>
    <t>Supine Knee to Knee Pull-In</t>
  </si>
  <si>
    <t>https://youtu.be/S2SJ2WDhGGE</t>
  </si>
  <si>
    <t>Pull knees toward chest while lying down.</t>
  </si>
  <si>
    <t>Supine Psoas March</t>
  </si>
  <si>
    <t>Hip Flexors</t>
  </si>
  <si>
    <t>https://youtu.be/MezNdAcVfZE</t>
  </si>
  <si>
    <t>March legs while lying on back.</t>
  </si>
  <si>
    <t>Supported Squats</t>
  </si>
  <si>
    <t>Swiss ball hamstring curls</t>
  </si>
  <si>
    <t>https://youtu.be/XkESHgkTdFw</t>
  </si>
  <si>
    <t>Curl Swiss ball with feet, engage hamstrings.</t>
  </si>
  <si>
    <t>T Bar Row</t>
  </si>
  <si>
    <t>https://youtu.be/yPis7nlbqdY</t>
  </si>
  <si>
    <t>Row T-bar attachment with close grip.</t>
  </si>
  <si>
    <t>T Spine Rotations</t>
  </si>
  <si>
    <t>https://youtu.be/uMWob72Y-EY</t>
  </si>
  <si>
    <t>Rotate thoracic spine side to side.</t>
  </si>
  <si>
    <t>T-Bar Close Grip Row</t>
  </si>
  <si>
    <t>https://youtu.be/mUNXh5oFKKY</t>
  </si>
  <si>
    <t>T-Bar Row</t>
  </si>
  <si>
    <t>https://youtu.be/KDEl3AmZbVE</t>
  </si>
  <si>
    <t>Row T-bar attachment with standard grip.</t>
  </si>
  <si>
    <t>T-Pushup</t>
  </si>
  <si>
    <t>https://youtu.be/vKaLCCNxMho</t>
  </si>
  <si>
    <t>Perform pushup and rotate to T position.</t>
  </si>
  <si>
    <t>T-Spine Rotations</t>
  </si>
  <si>
    <t>https://youtu.be/JDgXqqviyu4</t>
  </si>
  <si>
    <t>Table Top Banded Kickbacks</t>
  </si>
  <si>
    <t>https://youtu.be/faAQrJcDkms</t>
  </si>
  <si>
    <t>Perform kickbacks while in table top position.</t>
  </si>
  <si>
    <t>Table Top Crunch</t>
  </si>
  <si>
    <t>https://youtu.be/fNx2sexcgbI</t>
  </si>
  <si>
    <t>Crunch while in table top position.</t>
  </si>
  <si>
    <t>Table Top Kickback</t>
  </si>
  <si>
    <t>https://youtu.be/VOJjWXJrOrM</t>
  </si>
  <si>
    <t>Perform kickbacks in table top position.</t>
  </si>
  <si>
    <t>Tall Kneeling Ball Slams</t>
  </si>
  <si>
    <t>https://youtu.be/qVqEkYRFPbo</t>
  </si>
  <si>
    <t>Slam medicine ball while kneeling.</t>
  </si>
  <si>
    <t>Tall-Kneeling Band Chop</t>
  </si>
  <si>
    <t>https://youtu.be/e6XnIBPfGAw</t>
  </si>
  <si>
    <t>Chop band downward while kneeling.</t>
  </si>
  <si>
    <t>Tall-Kneeling Band Lift</t>
  </si>
  <si>
    <t>https://youtu.be/SP6DoszGLQo</t>
  </si>
  <si>
    <t>Lift band upward while kneeling.</t>
  </si>
  <si>
    <t>Tall-Kneeling Cable Chop</t>
  </si>
  <si>
    <t>https://youtu.be/kNcl67PdCUA</t>
  </si>
  <si>
    <t>Chop cable downward while kneeling.</t>
  </si>
  <si>
    <t>Tall-Kneeling Cable Lift</t>
  </si>
  <si>
    <t>https://youtu.be/_HVYT2nuZiw</t>
  </si>
  <si>
    <t>Lift cable upward while kneeling.</t>
  </si>
  <si>
    <t>Tall-Kneeling Landmine Press</t>
  </si>
  <si>
    <t>https://youtu.be/wWoh6U4GM9E</t>
  </si>
  <si>
    <t>Press landmine overhead while kneeling.</t>
  </si>
  <si>
    <t>Tall-Kneeling Overhead Pallof Press</t>
  </si>
  <si>
    <t>https://youtube.com/shorts/r_tbgEXCjbg?feature=share</t>
  </si>
  <si>
    <t>Perform Pallof press while kneeling.</t>
  </si>
  <si>
    <t>Tall-Kneeling Pallof Press</t>
  </si>
  <si>
    <t>https://youtu.be/y30uEJhBTwQ</t>
  </si>
  <si>
    <t>Tall-Kneeling Pallof Press Iso</t>
  </si>
  <si>
    <t>https://youtu.be/jZTU2bkEFCQ</t>
  </si>
  <si>
    <t>Perform isometric Pallof press while kneeling.</t>
  </si>
  <si>
    <t>Tall-Kneeling Pallof Press Iso With Band</t>
  </si>
  <si>
    <t>https://youtu.be/P3u4PizaORA</t>
  </si>
  <si>
    <t>Perform isometric Pallof press with band while kneeling.</t>
  </si>
  <si>
    <t>Tempo Back Squat</t>
  </si>
  <si>
    <t>https://youtu.be/mmb618X9Ieg</t>
  </si>
  <si>
    <t>Squat with controlled tempo.</t>
  </si>
  <si>
    <t>Tempo Belt Squat</t>
  </si>
  <si>
    <t>https://youtu.be/Y_GWyIx1ROo</t>
  </si>
  <si>
    <t>Squat with controlled tempo, using belt.</t>
  </si>
  <si>
    <t>Tempo DB Goblet Squat</t>
  </si>
  <si>
    <t>https://youtu.be/VEHSamPOkX4</t>
  </si>
  <si>
    <t>Goblet squat with controlled tempo.</t>
  </si>
  <si>
    <t>Tempo Leg Extensions</t>
  </si>
  <si>
    <t>https://youtu.be/-3zBscg3IiY</t>
  </si>
  <si>
    <t>Extend legs with controlled tempo.</t>
  </si>
  <si>
    <t>Tempo Push Up</t>
  </si>
  <si>
    <t>https://youtu.be/6URcQFbGZTA</t>
  </si>
  <si>
    <t>Perform pushup with controlled tempo.</t>
  </si>
  <si>
    <t>Tempo Squats</t>
  </si>
  <si>
    <t>https://youtu.be/QU3EGV5vQYA</t>
  </si>
  <si>
    <t>Perform squats with controlled tempo.</t>
  </si>
  <si>
    <t>Thoracic Mobilization on Foam Roller</t>
  </si>
  <si>
    <t>https://youtu.be/WDYFfr6KRoM</t>
  </si>
  <si>
    <t>Mobilize thoracic spine with foam roller.</t>
  </si>
  <si>
    <t>Thoracic Mobilization With Bench</t>
  </si>
  <si>
    <t>https://youtu.be/2b0LY4tyzgk</t>
  </si>
  <si>
    <t>Mobilize thoracic spine using bench.</t>
  </si>
  <si>
    <t>Thread the Needle</t>
  </si>
  <si>
    <t>https://youtu.be/MfUx9FCOb1E</t>
  </si>
  <si>
    <t>Reach arm through, rotate spine in tabletop position.</t>
  </si>
  <si>
    <t>Thread the Needle Plank</t>
  </si>
  <si>
    <t>https://youtu.be/TfLt8orAiiQ</t>
  </si>
  <si>
    <t>Perform plank while threading arm through.</t>
  </si>
  <si>
    <t>Throw 1,2s</t>
  </si>
  <si>
    <t>Boxing</t>
  </si>
  <si>
    <t>https://youtu.be/JyuiDu2llOY</t>
  </si>
  <si>
    <t>Perform boxing punches with alternating arms.</t>
  </si>
  <si>
    <t>Toe Crossover Touch</t>
  </si>
  <si>
    <t>Core, Legs</t>
  </si>
  <si>
    <t>https://youtu.be/xeY-Cofynwk</t>
  </si>
  <si>
    <t>Cross toes over each other while standing.</t>
  </si>
  <si>
    <t>Toe Reaches</t>
  </si>
  <si>
    <t>https://youtu.be/B3W05_n3EGg</t>
  </si>
  <si>
    <t>Reach for toes while sitting.</t>
  </si>
  <si>
    <t>Toe Touches</t>
  </si>
  <si>
    <t>https://youtu.be/y6Bv_0Shhc8</t>
  </si>
  <si>
    <t>Touch toes while lying down.</t>
  </si>
  <si>
    <t>Toe Touches with Weight</t>
  </si>
  <si>
    <t>Core, Upper Body</t>
  </si>
  <si>
    <t>https://youtu.be/HdhmIUkB-iY</t>
  </si>
  <si>
    <t>Touch toes while holding weight.</t>
  </si>
  <si>
    <t>Towel Hamstring Slides (single leg)</t>
  </si>
  <si>
    <t>https://youtu.be/8l3HR7vpdh0</t>
  </si>
  <si>
    <t>Slide towel while engaging hamstrings.</t>
  </si>
  <si>
    <t>Towel Single Arm Row</t>
  </si>
  <si>
    <t>https://youtu.be/4Ju7WeL7unw</t>
  </si>
  <si>
    <t>Row towel with single arm.</t>
  </si>
  <si>
    <t>Toy Soldier</t>
  </si>
  <si>
    <t>Dynamic Warm-up</t>
  </si>
  <si>
    <t>https://youtu.be/cIqzwOUilR4</t>
  </si>
  <si>
    <t>Kick leg toward opposite hand.</t>
  </si>
  <si>
    <t>Trap Bar Deadlift</t>
  </si>
  <si>
    <t>https://youtu.be/WzvsIU9FW60</t>
  </si>
  <si>
    <t>Deadlift using trap bar.</t>
  </si>
  <si>
    <t>Traps Lacrosse or Tennis Ball Rolling (SMR)</t>
  </si>
  <si>
    <t>Self-Myofascial Release</t>
  </si>
  <si>
    <t>https://youtu.be/9M0OOz5MnVU</t>
  </si>
  <si>
    <t>Roll ball on traps to release tension.</t>
  </si>
  <si>
    <t>Travelling Push-Up</t>
  </si>
  <si>
    <t>https://youtu.be/H40Fuq__B24</t>
  </si>
  <si>
    <t>Perform pushup while moving laterally.</t>
  </si>
  <si>
    <t>https://youtu.be/0326dy_-CzM</t>
  </si>
  <si>
    <t>Engage triceps by dipping.</t>
  </si>
  <si>
    <t>Tricep Dips + Hold</t>
  </si>
  <si>
    <t>https://youtu.be/uHziJVkB0v8</t>
  </si>
  <si>
    <t>Dip and hold at bottom position.</t>
  </si>
  <si>
    <t>Tricep Extension</t>
  </si>
  <si>
    <t>https://youtu.be/nRiJVZDpdL0</t>
  </si>
  <si>
    <t>Extend arm to engage triceps.</t>
  </si>
  <si>
    <t>Tricep Kickbacks</t>
  </si>
  <si>
    <t>https://youtu.be/ZO81bExngMI</t>
  </si>
  <si>
    <t>Extend arm back while engaging triceps.</t>
  </si>
  <si>
    <t>Tricep Presses</t>
  </si>
  <si>
    <t>https://youtu.be/bjT5WC0FyiU</t>
  </si>
  <si>
    <t>Press weight overhead, engaging triceps.</t>
  </si>
  <si>
    <t>Tricep Push-Ups</t>
  </si>
  <si>
    <t>Triceps, Chest</t>
  </si>
  <si>
    <t>https://youtu.be/kZi0j-7rDe8</t>
  </si>
  <si>
    <t>Perform pushup with hands close together.</t>
  </si>
  <si>
    <t>Tricep Pushdowns</t>
  </si>
  <si>
    <t>https://youtu.be/LXkCrxn3caQ</t>
  </si>
  <si>
    <t>Push weight downward, engaging triceps.</t>
  </si>
  <si>
    <t>Triceps Press-Down</t>
  </si>
  <si>
    <t>https://youtu.be/JthKLSzmuP8</t>
  </si>
  <si>
    <t>Press down on cable attachment, engage triceps.</t>
  </si>
  <si>
    <t>TRX Chest Press</t>
  </si>
  <si>
    <t>https://youtu.be/7VdE8LAFSWQ</t>
  </si>
  <si>
    <t>Perform chest press using TRX straps.</t>
  </si>
  <si>
    <t>TRX Inverted Row</t>
  </si>
  <si>
    <t>https://youtu.be/utTuYn6ncGE</t>
  </si>
  <si>
    <t>Perform inverted row using TRX straps.</t>
  </si>
  <si>
    <t>TRX Jump Squats</t>
  </si>
  <si>
    <t>https://youtu.be/0ztDNFBa0J8</t>
  </si>
  <si>
    <t>Jump squats with TRX straps.</t>
  </si>
  <si>
    <t>TRX Pull Up</t>
  </si>
  <si>
    <t>https://youtu.be/fAQwN4t-2JI</t>
  </si>
  <si>
    <t>Perform pull up using TRX straps.</t>
  </si>
  <si>
    <t>TRX Single Leg Squat</t>
  </si>
  <si>
    <t>https://youtu.be/_wTnziOp_7g</t>
  </si>
  <si>
    <t>Squat on one leg using TRX straps.</t>
  </si>
  <si>
    <t>Tube Walking</t>
  </si>
  <si>
    <t>Hip Abduction</t>
  </si>
  <si>
    <t>https://youtu.be/vG9TWYe2XjA</t>
  </si>
  <si>
    <t>Walk sideways with resistance band.</t>
  </si>
  <si>
    <t>Tuck Jump</t>
  </si>
  <si>
    <t>Legs, Explosiveness</t>
  </si>
  <si>
    <t>https://youtu.be/r7oBejx1PHM</t>
  </si>
  <si>
    <t>Perform a jumping tuck motion.</t>
  </si>
  <si>
    <t>Turkish Get-up</t>
  </si>
  <si>
    <t>https://youtu.be/sgd8n917Zv0</t>
  </si>
  <si>
    <t>Full-body functional movement from ground to standing.</t>
  </si>
  <si>
    <t>Twist Hanging Leg Raises</t>
  </si>
  <si>
    <t>https://youtu.be/T-XN-RpGMEw</t>
  </si>
  <si>
    <t>Hang and twist while raising legs.</t>
  </si>
  <si>
    <t>Underhand Close Grip Lat Pulldown</t>
  </si>
  <si>
    <t>https://youtu.be/E6LOhIP3i1c</t>
  </si>
  <si>
    <t>Close grip lat pulldown with underhand grip.</t>
  </si>
  <si>
    <t>Underhand Inverted Row</t>
  </si>
  <si>
    <t>https://youtu.be/2wQU1Klfc6U</t>
  </si>
  <si>
    <t>Perform inverted row with underhand grip.</t>
  </si>
  <si>
    <t>Up Downs</t>
  </si>
  <si>
    <t>https://www.youtube.com/watch?v=4NRFUKgNhs8</t>
  </si>
  <si>
    <t>Alternate between up and down positions.</t>
  </si>
  <si>
    <t>Upfront Row</t>
  </si>
  <si>
    <t>https://youtu.be/IhZLB48kluc</t>
  </si>
  <si>
    <t>Row weight towards upper abdomen.</t>
  </si>
  <si>
    <t>Upper Chest Cable Fly</t>
  </si>
  <si>
    <t>https://youtube.com/shorts/tGXIQR89-JE?feature=share</t>
  </si>
  <si>
    <t>Fly motion targeting upper chest.</t>
  </si>
  <si>
    <t>Upright Row</t>
  </si>
  <si>
    <t>Pull weight upward near body.</t>
  </si>
  <si>
    <t>V Ups with Weight on Bench</t>
  </si>
  <si>
    <t>https://youtu.be/wmlLza-kdcg</t>
  </si>
  <si>
    <t>Perform V-ups while holding weight.</t>
  </si>
  <si>
    <t>V-Hold</t>
  </si>
  <si>
    <t>https://youtu.be/WGwI629aTAY</t>
  </si>
  <si>
    <t>Hold V position, engage core.</t>
  </si>
  <si>
    <t>V-Ups (with or without weight)</t>
  </si>
  <si>
    <t>https://youtu.be/iP2fjvG0g3w</t>
  </si>
  <si>
    <t>Perform V-ups to engage core.</t>
  </si>
  <si>
    <t>VMO Squat</t>
  </si>
  <si>
    <t>https://youtu.be/DpNwtqOwWNI</t>
  </si>
  <si>
    <t>Squat with emphasis on vastus medialis oblique muscle.</t>
  </si>
  <si>
    <t>Walk Out to Shoulder Tap</t>
  </si>
  <si>
    <t>https://youtu.be/i3NZ8BZlXTI</t>
  </si>
  <si>
    <t>Walk out to plank, tap shoulders alternately.</t>
  </si>
  <si>
    <t>Walking Dumbbell Cross-Carry</t>
  </si>
  <si>
    <t>Core, Cardio, Balance</t>
  </si>
  <si>
    <t>https://youtu.be/tLz-9rvTuWY</t>
  </si>
  <si>
    <t>Carry dumbbell across body while walking.</t>
  </si>
  <si>
    <t>Walking Dumbbell Lunge</t>
  </si>
  <si>
    <t>https://youtu.be/I34ysEkPK7w</t>
  </si>
  <si>
    <t>Lunge forward while walking.</t>
  </si>
  <si>
    <t>Walking Farmer's Carry</t>
  </si>
  <si>
    <t>https://youtu.be/VBobkldqqvk</t>
  </si>
  <si>
    <t>Carry weight while walking.</t>
  </si>
  <si>
    <t>Walking Goblet Carry</t>
  </si>
  <si>
    <t>https://youtu.be/9Xv_5oevuqw</t>
  </si>
  <si>
    <t>Carry goblet weight while walking.</t>
  </si>
  <si>
    <t>Walking Goblet Heartbeat Carry</t>
  </si>
  <si>
    <t>https://www.youtube.com/watch?v=GIX0suMnKxM</t>
  </si>
  <si>
    <t>Carry goblet weight with heartbeat motion.</t>
  </si>
  <si>
    <t>Walking Goblet Lunge</t>
  </si>
  <si>
    <t>https://youtu.be/oV97EckMQlo</t>
  </si>
  <si>
    <t>Lunge forward while carrying goblet weight.</t>
  </si>
  <si>
    <t>Walking Knee to Chest</t>
  </si>
  <si>
    <t>https://youtu.be/pvlpCSwsvBM</t>
  </si>
  <si>
    <t>Walk while pulling knee to chest.</t>
  </si>
  <si>
    <t>Walking Lunges</t>
  </si>
  <si>
    <t>https://youtu.be/L8fvypPrzzs</t>
  </si>
  <si>
    <t>Perform lunges while walking.</t>
  </si>
  <si>
    <t>Walking Offset Dumbbell Lunge</t>
  </si>
  <si>
    <t>https://youtu.be/xeNEeJ7IqKQ</t>
  </si>
  <si>
    <t>Lunge forward with offset dumbbell.</t>
  </si>
  <si>
    <t>Walking Pull-Back Butt Kick</t>
  </si>
  <si>
    <t>https://youtu.be/VIM9tzPgKPM</t>
  </si>
  <si>
    <t>Walk, kicking butt backward.</t>
  </si>
  <si>
    <t>Walking Push Up with Pause</t>
  </si>
  <si>
    <t>https://youtu.be/l7ZmX1eaXLo</t>
  </si>
  <si>
    <t>Perform pushup, pause while walking.</t>
  </si>
  <si>
    <t>Walking Spiderman</t>
  </si>
  <si>
    <t>Core, Hip Mobility</t>
  </si>
  <si>
    <t>https://youtu.be/NCCyBaxKJeA</t>
  </si>
  <si>
    <t>Perform Spiderman crawl while walking.</t>
  </si>
  <si>
    <t>Walking Spiderman With Hip Lift</t>
  </si>
  <si>
    <t>https://youtu.be/qEGBq6uW8DA</t>
  </si>
  <si>
    <t>Perform Spiderman crawl with hip lift.</t>
  </si>
  <si>
    <t>Walking Spiderman With Overhead Reach</t>
  </si>
  <si>
    <t>Core, Shoulder Mobility</t>
  </si>
  <si>
    <t>https://youtu.be/1ar0g-ztdVg</t>
  </si>
  <si>
    <t>Perform Spiderman crawl with overhead reach.</t>
  </si>
  <si>
    <t>Walking Spiderman With Overhead Reach and Hip Lift</t>
  </si>
  <si>
    <t>Core, Hip Mobility, Shoulder Mobility</t>
  </si>
  <si>
    <t>https://youtu.be/Y2UIv-e6vgE</t>
  </si>
  <si>
    <t>Perform Spiderman crawl with overhead reach and hip lift.</t>
  </si>
  <si>
    <t>Walking Two-Arm Waiter’s Carry</t>
  </si>
  <si>
    <t>https://youtu.be/7SQeaqVHvwQ</t>
  </si>
  <si>
    <t>Carry weight overhead while walking.</t>
  </si>
  <si>
    <t>Walking Waiter's Carry</t>
  </si>
  <si>
    <t>https://youtu.be/xboGjaMzIkk</t>
  </si>
  <si>
    <t>Walking Warrior Lunge</t>
  </si>
  <si>
    <t>https://youtu.be/iS4K0puAFdQ</t>
  </si>
  <si>
    <t>Perform warrior lunge while walking.</t>
  </si>
  <si>
    <t>Wall Angel</t>
  </si>
  <si>
    <t>Shoulder Mobility, Upper Back</t>
  </si>
  <si>
    <t>https://youtu.be/YO87HFVgsGo</t>
  </si>
  <si>
    <t>Perform arm movements against wall.</t>
  </si>
  <si>
    <t>Wall Ankle Mobilization</t>
  </si>
  <si>
    <t>Ankle Mobility</t>
  </si>
  <si>
    <t>https://youtu.be/opkGhc45tmY</t>
  </si>
  <si>
    <t>Mobilize ankles using wall for support.</t>
  </si>
  <si>
    <t>Wall Forward Crunch</t>
  </si>
  <si>
    <t>https://youtu.be/huwqkE9b6wE</t>
  </si>
  <si>
    <t>Crunch while pressing against wall.</t>
  </si>
  <si>
    <t>Wall Glute Iso March</t>
  </si>
  <si>
    <t>Glutes, Hip Flexors</t>
  </si>
  <si>
    <t>https://youtu.be/IyH1kkEFk9U</t>
  </si>
  <si>
    <t>March while engaging glutes against wall.</t>
  </si>
  <si>
    <t>Wall Hip Flexor Mobilization</t>
  </si>
  <si>
    <t>Hip Flexor Mobility</t>
  </si>
  <si>
    <t>https://youtu.be/yiLsE4PCpOU</t>
  </si>
  <si>
    <t>Mobilize hip flexors using wall.</t>
  </si>
  <si>
    <t>Wall Plank</t>
  </si>
  <si>
    <t>https://youtu.be/T-bfBQXfL-I</t>
  </si>
  <si>
    <t>Perform plank against wall.</t>
  </si>
  <si>
    <t>Wall Scapular Push Up</t>
  </si>
  <si>
    <t>https://youtu.be/MtNsnW7Q7Fo</t>
  </si>
  <si>
    <t>Push against wall in scapular push-up motion.</t>
  </si>
  <si>
    <t>Wall Crunch</t>
  </si>
  <si>
    <t>Crunch against wall.</t>
  </si>
  <si>
    <t>Wall Sit</t>
  </si>
  <si>
    <t>https://youtu.be/-cdph8hv0O0</t>
  </si>
  <si>
    <t>Hold squat position against wall.</t>
  </si>
  <si>
    <t>Wall Slides</t>
  </si>
  <si>
    <t>https://youtu.be/YIvNRUJp7_E</t>
  </si>
  <si>
    <t>Slide arms against wall for mobility.</t>
  </si>
  <si>
    <t>Wall-Press Abs</t>
  </si>
  <si>
    <t>https://youtu.be/zVvDMzZyO5M</t>
  </si>
  <si>
    <t>Perform ab presses against wall.</t>
  </si>
  <si>
    <t>Weighted Bench Dip</t>
  </si>
  <si>
    <t>https://youtu.be/egQiO0K-BEw</t>
  </si>
  <si>
    <t>Perform weighted dips on bench.</t>
  </si>
  <si>
    <t>Weighted Burpee</t>
  </si>
  <si>
    <t>Cardio, Full Body</t>
  </si>
  <si>
    <t>https://youtu.be/AQY4bL7MJKI</t>
  </si>
  <si>
    <t>Perform burpee while holding weight.</t>
  </si>
  <si>
    <t>Weighted Burpee to Squat Thruster</t>
  </si>
  <si>
    <t>Cardio, Legs, Shoulders</t>
  </si>
  <si>
    <t>https://youtu.be/PK3j62cIjqQ</t>
  </si>
  <si>
    <t>Combine burpee with squat thruster.</t>
  </si>
  <si>
    <t>Weighted Butterfly Stretch</t>
  </si>
  <si>
    <t>Hip Mobility</t>
  </si>
  <si>
    <t>https://youtu.be/H8cnwdmhkto</t>
  </si>
  <si>
    <t>Perform weighted butterfly stretch.</t>
  </si>
  <si>
    <t>Weighted Calf Raises</t>
  </si>
  <si>
    <t>https://youtu.be/wxwY7GXxL4k</t>
  </si>
  <si>
    <t>Perform calf raises with added weight.</t>
  </si>
  <si>
    <t>Weighted Chin-Up</t>
  </si>
  <si>
    <t>https://youtu.be/9aA0-FbxK9E</t>
  </si>
  <si>
    <t>Perform chin-up while holding weight.</t>
  </si>
  <si>
    <t>Weighted Clamshell</t>
  </si>
  <si>
    <t>https://youtu.be/SiC6ViOX1Uw</t>
  </si>
  <si>
    <t>Perform clamshell exercise with added weight.</t>
  </si>
  <si>
    <t>Weighted Crunch</t>
  </si>
  <si>
    <t>https://youtu.be/Pxkw6dUt_Ok</t>
  </si>
  <si>
    <t>Perform crunch with added weight.</t>
  </si>
  <si>
    <t>Weighted Deadbugs</t>
  </si>
  <si>
    <t>https://youtu.be/JJFSnqwlVv0</t>
  </si>
  <si>
    <t>Perform deadbugs exercise with added weight.</t>
  </si>
  <si>
    <t>Weighted Frog Pumps</t>
  </si>
  <si>
    <t>https://youtu.be/N6t2Fv0SKGc</t>
  </si>
  <si>
    <t>Engage triceps and shoulders in dips with added weight.</t>
  </si>
  <si>
    <t>Weighted Hanging Leg Raise</t>
  </si>
  <si>
    <t>https://youtu.be/BI7wrB3Crsc</t>
  </si>
  <si>
    <t>Engage glutes with frog pump motion while holding weight.</t>
  </si>
  <si>
    <t>Weighted Hip Thrusts</t>
  </si>
  <si>
    <t>https://youtu.be/Zp26q4BY5HE</t>
  </si>
  <si>
    <t>Raise legs while hanging, holding weight.</t>
  </si>
  <si>
    <t>Weighted Jacknives</t>
  </si>
  <si>
    <t>https://youtu.be/4wOc_mGWi00</t>
  </si>
  <si>
    <t>Thrust hips upward with added weight.</t>
  </si>
  <si>
    <t>Weighted Leg Extensions</t>
  </si>
  <si>
    <t>https://youtu.be/m0FOpMEgero</t>
  </si>
  <si>
    <t>Perform jackknife motion with added weight.</t>
  </si>
  <si>
    <t>Weighted Leg Lifts</t>
  </si>
  <si>
    <t>https://youtu.be/SkEzWAyzxJI</t>
  </si>
  <si>
    <t>Perform leg extensions with added weight.</t>
  </si>
  <si>
    <t>Weighted Lying Hip Abduction</t>
  </si>
  <si>
    <t>https://youtu.be/4RrsARGxGGU</t>
  </si>
  <si>
    <t>Lift legs while holding weight.</t>
  </si>
  <si>
    <t>Weighted Marching Hip Thrust</t>
  </si>
  <si>
    <t>https://youtu.be/WJBLYq5vREI</t>
  </si>
  <si>
    <t>Abduct hips with added weight while lying down.</t>
  </si>
  <si>
    <t>Weighted Modified Burpee</t>
  </si>
  <si>
    <t>Perform hip thrusts with marching motion, holding weight.</t>
  </si>
  <si>
    <t>Weighted Neutral-Grip Pull-Up</t>
  </si>
  <si>
    <t>https://youtu.be/-27Ofi_wMFc</t>
  </si>
  <si>
    <t>Perform modified burpee with added weight.</t>
  </si>
  <si>
    <t>Weighted Planks</t>
  </si>
  <si>
    <t>https://youtu.be/H88Ip-MUWn0</t>
  </si>
  <si>
    <t>Perform pull-up with neutral grip, holding weight.</t>
  </si>
  <si>
    <t>Weighted Pull-Up</t>
  </si>
  <si>
    <t>https://youtu.be/EydHbpLCZJo</t>
  </si>
  <si>
    <t>Perform planks with added weight.</t>
  </si>
  <si>
    <t>Weighted Pushup</t>
  </si>
  <si>
    <t>https://youtu.be/m1w4h6xFivQ</t>
  </si>
  <si>
    <t>Perform pull-up with added weight.</t>
  </si>
  <si>
    <t>Weighted Ring Pushup</t>
  </si>
  <si>
    <t>https://youtu.be/ONg-lNvWukE</t>
  </si>
  <si>
    <t>Perform pushup with added weight.</t>
  </si>
  <si>
    <t>Weighted Single Arm Situp</t>
  </si>
  <si>
    <t>https://youtu.be/UQy0HHaA_TU</t>
  </si>
  <si>
    <t>Perform pushup with added weight using rings.</t>
  </si>
  <si>
    <t>Weighted Squat Hold</t>
  </si>
  <si>
    <t>https://youtu.be/HUbrc3hT4JM</t>
  </si>
  <si>
    <t>Perform situp with added weight on one arm.</t>
  </si>
  <si>
    <t>Weighted Toe Touches</t>
  </si>
  <si>
    <t>https://youtu.be/2LoqJTguCx4</t>
  </si>
  <si>
    <t>Hold squat position with added weight.</t>
  </si>
  <si>
    <t>Weighted Wall Sit</t>
  </si>
  <si>
    <t>https://youtu.be/8e42dL8MeMw</t>
  </si>
  <si>
    <t>Perform toe touches with added weight.</t>
  </si>
  <si>
    <t>Wide Feet Push-Up</t>
  </si>
  <si>
    <t>https://youtu.be/NnaAyf-X01U</t>
  </si>
  <si>
    <t>Perform wall sit with added weight.</t>
  </si>
  <si>
    <t>Wide Grip Barbell Bicep Curl</t>
  </si>
  <si>
    <t>https://youtu.be/jnfveKq1i3E</t>
  </si>
  <si>
    <t>Perform pushup with wide hand placement.</t>
  </si>
  <si>
    <t>Wide Grip Chin Up</t>
  </si>
  <si>
    <t>https://youtu.be/r245A-Wy9V8</t>
  </si>
  <si>
    <t>Curl barbell with wide grip.</t>
  </si>
  <si>
    <t>Wide Grip Lat Pulldown</t>
  </si>
  <si>
    <t>https://youtu.be/lueEJGjTuPQ</t>
  </si>
  <si>
    <t>Perform chin-up with wide grip.</t>
  </si>
  <si>
    <t>Wide Grip Pull-up</t>
  </si>
  <si>
    <t>https://youtu.be/GRgWPT9XSQQ</t>
  </si>
  <si>
    <t>Perform lat pulldown with wide grip.</t>
  </si>
  <si>
    <t>Wide Grip Pulldown</t>
  </si>
  <si>
    <t>Perform pull-up with wide grip.</t>
  </si>
  <si>
    <t>Wide Stance Close Grip Row</t>
  </si>
  <si>
    <t>https://youtu.be/btppD-8cNYU</t>
  </si>
  <si>
    <t>Perform pulldown with wide grip.</t>
  </si>
  <si>
    <t>Wide Stance DB Goblet Squat</t>
  </si>
  <si>
    <t>https://youtu.be/LEY11M55Jc0</t>
  </si>
  <si>
    <t>Perform row with wide stance and close grip.</t>
  </si>
  <si>
    <t>Wide Stance Leg Press</t>
  </si>
  <si>
    <t>https://youtu.be/UT1U-iGl2Uc</t>
  </si>
  <si>
    <t>Squat with wide stance, holding dumbbell.</t>
  </si>
  <si>
    <t>Wide Stance Kettlebell RDL</t>
  </si>
  <si>
    <t>https://youtube.com/shorts/SoChBaHIt40?feature=share</t>
  </si>
  <si>
    <t>Perform leg press with wide stance.</t>
  </si>
  <si>
    <t>Wide Stance Plank Row</t>
  </si>
  <si>
    <t>Core, Upper Back</t>
  </si>
  <si>
    <t>https://youtu.be/Gtc_Ns3qYYo</t>
  </si>
  <si>
    <t>Perform kettlebell Romanian deadlift with wide stance.</t>
  </si>
  <si>
    <t>Windmills</t>
  </si>
  <si>
    <t>https://youtu.be/ogCw52FZlfM</t>
  </si>
  <si>
    <t>Perform plank row with wide stance.</t>
  </si>
  <si>
    <t>World's Greatest Stretch</t>
  </si>
  <si>
    <t>Full Body Stretch</t>
  </si>
  <si>
    <t>https://youtu.be/-CiWQ2IvY34</t>
  </si>
  <si>
    <t>Perform windmill motion with weight.</t>
  </si>
  <si>
    <t>X-Band Box Walk</t>
  </si>
  <si>
    <t>https://youtu.be/f2ugBVdxpPQ</t>
  </si>
  <si>
    <t>Dynamic stretch sequence.</t>
  </si>
  <si>
    <t>X-Band Walk</t>
  </si>
  <si>
    <t>https://youtu.be/RyJonI6zQaE</t>
  </si>
  <si>
    <t>Walk with resistance band around legs.</t>
  </si>
  <si>
    <t>X-Lat Band Pull-Down</t>
  </si>
  <si>
    <t>https://youtu.be/8zv8Pray4-w</t>
  </si>
  <si>
    <t>Perform lat pulldown with resistance band in X shape.</t>
  </si>
  <si>
    <t>Yoga Downward Dog Stretch</t>
  </si>
  <si>
    <t>Whole Body Stretch</t>
  </si>
  <si>
    <t>https://youtu.be/ayQoxw8sRTk</t>
  </si>
  <si>
    <t>Stretch in downward dog yoga pose.</t>
  </si>
  <si>
    <t>Yoga Plex</t>
  </si>
  <si>
    <t>https://youtu.be/74jm-tJnL88</t>
  </si>
  <si>
    <t>Yoga stretch for pectoral muscles.</t>
  </si>
  <si>
    <t>Yoga Pushup</t>
  </si>
  <si>
    <t>Upper Body</t>
  </si>
  <si>
    <t>https://www.youtube.com/watch?v=-7TEPQKkTxI</t>
  </si>
  <si>
    <t>Perform pushup in yoga style.</t>
  </si>
  <si>
    <t>Yoga YT Full Body Stretch</t>
  </si>
  <si>
    <t>https://www.youtube.com/watch?v=cgjdYaLdJTo</t>
  </si>
  <si>
    <t>Perform yoga-style full body stretch.</t>
  </si>
  <si>
    <t>Zercher Squats</t>
  </si>
  <si>
    <t>https://youtu.be/vpy4ADmlo1E</t>
  </si>
  <si>
    <t>Perform squats with Zercher hold.</t>
  </si>
  <si>
    <t>Zombie Front Squats</t>
  </si>
  <si>
    <t>https://youtu.be/Siwj8KDU5zI</t>
  </si>
  <si>
    <t>Perform front squats with upright posture.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</si>
</sst>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 &quot;dddd&quot;, &quot;mmmm&quot; &quot;d&quot; &quot;"/>
    <numFmt numFmtId="165" formatCode=";;;"/>
    <numFmt numFmtId="166" formatCode="&quot; &quot;dddd&quot;, &quot;mmmm&quot; &quot;d&quot;, &quot;yyyy"/>
    <numFmt numFmtId="167" formatCode="m-d"/>
    <numFmt numFmtId="168" formatCode="m/d/yyyy h:mm:ss"/>
  </numFmts>
  <fonts count="45">
    <font>
      <sz val="10.0"/>
      <color rgb="FF000000"/>
      <name val="Arial"/>
      <scheme val="minor"/>
    </font>
    <font>
      <b/>
      <sz val="11.0"/>
      <color theme="1"/>
      <name val="Helvetica Neue"/>
    </font>
    <font>
      <b/>
      <u/>
      <sz val="13.0"/>
      <color rgb="FFFFFFFF"/>
      <name val="Helvetica Neue"/>
    </font>
    <font>
      <b/>
      <sz val="12.0"/>
      <color rgb="FF000000"/>
      <name val="Helvetica Neue"/>
    </font>
    <font>
      <b/>
      <sz val="14.0"/>
      <color rgb="FF000000"/>
      <name val="Helvetica Neue"/>
    </font>
    <font>
      <b/>
      <sz val="14.0"/>
      <color theme="1"/>
      <name val="Arial"/>
      <scheme val="minor"/>
    </font>
    <font>
      <b/>
      <u/>
      <sz val="14.0"/>
      <color rgb="FF8821FF"/>
      <name val="Helvetica Neue"/>
    </font>
    <font>
      <b/>
      <sz val="14.0"/>
      <color rgb="FF8821FF"/>
      <name val="Helvetica Neue"/>
    </font>
    <font>
      <b/>
      <sz val="11.0"/>
      <color rgb="FFFFFFFF"/>
      <name val="Helvetica Neue"/>
    </font>
    <font>
      <color theme="1"/>
      <name val="Arial"/>
    </font>
    <font>
      <b/>
      <sz val="20.0"/>
      <color rgb="FF000000"/>
      <name val="Helvetica Neue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6.0"/>
      <color rgb="FFFFFFFF"/>
      <name val="Arial"/>
      <scheme val="minor"/>
    </font>
    <font>
      <sz val="10.0"/>
      <color rgb="FFFFFFFF"/>
      <name val="Helvetica Neue"/>
    </font>
    <font>
      <sz val="10.0"/>
      <color rgb="FFD2E823"/>
      <name val="Helvetica Neue"/>
    </font>
    <font>
      <sz val="11.0"/>
      <color rgb="FFFFFFFF"/>
      <name val="Arial"/>
      <scheme val="minor"/>
    </font>
    <font>
      <color rgb="FFFFFFFF"/>
      <name val="Arial"/>
      <scheme val="minor"/>
    </font>
    <font>
      <sz val="10.0"/>
      <color rgb="FF000000"/>
      <name val="Helvetica Neue"/>
    </font>
    <font>
      <b/>
      <sz val="10.0"/>
      <color rgb="FF000000"/>
      <name val="Helvetica Neue"/>
    </font>
    <font>
      <b/>
      <u/>
      <sz val="13.0"/>
      <color rgb="FF8821FF"/>
      <name val="Helvetica Neue"/>
    </font>
    <font>
      <b/>
      <sz val="12.0"/>
      <color rgb="FFFFFFFF"/>
      <name val="Helvetica Neue"/>
    </font>
    <font>
      <b/>
      <sz val="14.0"/>
      <color rgb="FFFFFFFF"/>
      <name val="Arial"/>
      <scheme val="minor"/>
    </font>
    <font>
      <b/>
      <u/>
      <sz val="14.0"/>
      <color rgb="FF8821FF"/>
      <name val="Helvetica Neue"/>
    </font>
    <font/>
    <font>
      <b/>
      <u/>
      <sz val="10.0"/>
      <color rgb="FF000000"/>
      <name val="Helvetica Neue"/>
    </font>
    <font>
      <color rgb="FF181A1B"/>
      <name val="Arial"/>
      <scheme val="minor"/>
    </font>
    <font>
      <strike/>
      <sz val="10.0"/>
      <color rgb="FF000000"/>
      <name val="Helvetica Neue"/>
    </font>
    <font>
      <b/>
      <strike/>
      <sz val="10.0"/>
      <color rgb="FF000000"/>
      <name val="Helvetica Neue"/>
    </font>
    <font>
      <strike/>
      <color theme="1"/>
      <name val="Arial"/>
      <scheme val="minor"/>
    </font>
    <font>
      <strike/>
      <color theme="1"/>
      <name val="Arial"/>
    </font>
    <font>
      <b/>
      <sz val="12.0"/>
      <color rgb="FF000000"/>
      <name val="Arial"/>
      <scheme val="minor"/>
    </font>
    <font>
      <b/>
      <color rgb="FF000000"/>
      <name val="Arial"/>
      <scheme val="minor"/>
    </font>
    <font>
      <sz val="12.0"/>
      <color rgb="FFFFFFFF"/>
      <name val="Helvetica Neue"/>
    </font>
    <font>
      <sz val="12.0"/>
      <color rgb="FF000000"/>
      <name val="Helvetica Neue"/>
    </font>
    <font>
      <b/>
      <sz val="11.0"/>
      <color rgb="FF000000"/>
      <name val="Arial"/>
      <scheme val="minor"/>
    </font>
    <font>
      <b/>
      <color rgb="FFD2E823"/>
      <name val="Helvetica Neue"/>
    </font>
    <font>
      <b/>
      <color rgb="FFFFFFFF"/>
      <name val="Helvetica Neue"/>
    </font>
    <font>
      <color theme="1"/>
      <name val="Helvetica Neue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8821FF"/>
        <bgColor rgb="FF8821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3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821FF"/>
      </bottom>
    </border>
    <border>
      <top style="thin">
        <color rgb="FF8821FF"/>
      </top>
      <bottom style="thin">
        <color rgb="FF8821FF"/>
      </bottom>
    </border>
    <border>
      <bottom style="thick">
        <color rgb="FF8821FF"/>
      </bottom>
    </border>
    <border>
      <top style="thick">
        <color rgb="FF8821FF"/>
      </top>
      <bottom style="thick">
        <color rgb="FF8821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8821FF"/>
      </left>
      <right style="thin">
        <color rgb="FF8821FF"/>
      </right>
      <top style="thin">
        <color rgb="FF8821FF"/>
      </top>
      <bottom style="thin">
        <color rgb="FF8821FF"/>
      </bottom>
    </border>
    <border>
      <left style="thin">
        <color rgb="FF8821FF"/>
      </left>
      <top style="thin">
        <color rgb="FF8821FF"/>
      </top>
      <bottom style="thin">
        <color rgb="FF8821FF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0" fillId="4" fontId="15" numFmtId="0" xfId="0" applyAlignment="1" applyFont="1">
      <alignment horizontal="center" shrinkToFit="0" vertical="center" wrapText="1"/>
    </xf>
    <xf borderId="0" fillId="4" fontId="15" numFmtId="0" xfId="0" applyAlignment="1" applyFont="1">
      <alignment horizontal="center" readingOrder="0" shrinkToFit="0" vertical="center" wrapText="1"/>
    </xf>
    <xf borderId="0" fillId="4" fontId="16" numFmtId="14" xfId="0" applyAlignment="1" applyFont="1" applyNumberFormat="1">
      <alignment horizontal="center" readingOrder="0" shrinkToFit="0" vertical="center" wrapText="1"/>
    </xf>
    <xf borderId="0" fillId="4" fontId="17" numFmtId="164" xfId="0" applyAlignment="1" applyFont="1" applyNumberFormat="1">
      <alignment horizontal="center" readingOrder="0" shrinkToFit="0" vertical="center" wrapText="1"/>
    </xf>
    <xf borderId="0" fillId="2" fontId="18" numFmtId="0" xfId="0" applyAlignment="1" applyFont="1">
      <alignment horizontal="center" readingOrder="0" shrinkToFit="0" vertical="center" wrapText="1"/>
    </xf>
    <xf borderId="0" fillId="5" fontId="19" numFmtId="0" xfId="0" applyAlignment="1" applyFill="1" applyFont="1">
      <alignment horizontal="center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5" fontId="20" numFmtId="165" xfId="0" applyAlignment="1" applyFont="1" applyNumberForma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9" numFmtId="1" xfId="0" applyAlignment="1" applyFont="1" applyNumberFormat="1">
      <alignment horizontal="center" shrinkToFit="0" vertical="center" wrapText="1"/>
    </xf>
    <xf borderId="0" fillId="0" fontId="12" numFmtId="0" xfId="0" applyFont="1"/>
    <xf borderId="0" fillId="5" fontId="19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shrinkToFit="0" vertical="center" wrapText="1"/>
    </xf>
    <xf borderId="0" fillId="5" fontId="20" numFmtId="0" xfId="0" applyAlignment="1" applyFont="1">
      <alignment horizontal="center" readingOrder="0" shrinkToFit="0" vertical="center" wrapText="1"/>
    </xf>
    <xf borderId="0" fillId="5" fontId="20" numFmtId="165" xfId="0" applyAlignment="1" applyFont="1" applyNumberFormat="1">
      <alignment horizontal="center" readingOrder="0" shrinkToFit="0" vertical="center" wrapText="1"/>
    </xf>
    <xf borderId="0" fillId="5" fontId="19" numFmtId="1" xfId="0" applyAlignment="1" applyFont="1" applyNumberFormat="1">
      <alignment horizontal="center" readingOrder="0" shrinkToFit="0" vertical="center" wrapText="1"/>
    </xf>
    <xf borderId="0" fillId="5" fontId="0" numFmtId="0" xfId="0" applyAlignment="1" applyFont="1">
      <alignment horizontal="center" readingOrder="0" shrinkToFit="0" vertical="center" wrapText="1"/>
    </xf>
    <xf borderId="0" fillId="5" fontId="0" numFmtId="0" xfId="0" applyAlignment="1" applyFont="1">
      <alignment horizontal="center" shrinkToFit="0" vertical="center" wrapText="1"/>
    </xf>
    <xf borderId="0" fillId="5" fontId="3" numFmtId="166" xfId="0" applyAlignment="1" applyFont="1" applyNumberFormat="1">
      <alignment horizontal="center"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4" fontId="15" numFmtId="14" xfId="0" applyAlignment="1" applyFont="1" applyNumberFormat="1">
      <alignment horizontal="center" readingOrder="0" shrinkToFit="0" vertical="center" wrapText="1"/>
    </xf>
    <xf borderId="1" fillId="5" fontId="19" numFmtId="1" xfId="0" applyAlignment="1" applyBorder="1" applyFont="1" applyNumberFormat="1">
      <alignment horizontal="center" readingOrder="0" shrinkToFit="0" vertical="center" wrapText="1"/>
    </xf>
    <xf borderId="2" fillId="5" fontId="19" numFmtId="1" xfId="0" applyAlignment="1" applyBorder="1" applyFont="1" applyNumberFormat="1">
      <alignment horizontal="center" readingOrder="0" shrinkToFit="0" vertical="center" wrapText="1"/>
    </xf>
    <xf borderId="0" fillId="5" fontId="0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2" fontId="19" numFmtId="0" xfId="0" applyAlignment="1" applyFont="1">
      <alignment horizontal="center" shrinkToFit="0" vertical="center" wrapText="1"/>
    </xf>
    <xf borderId="0" fillId="2" fontId="3" numFmtId="166" xfId="0" applyAlignment="1" applyFont="1" applyNumberFormat="1">
      <alignment horizontal="center" readingOrder="0" shrinkToFit="0" vertical="center" wrapText="1"/>
    </xf>
    <xf borderId="0" fillId="3" fontId="21" numFmtId="0" xfId="0" applyAlignment="1" applyFont="1">
      <alignment horizontal="center"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3" fontId="23" numFmtId="0" xfId="0" applyAlignment="1" applyFont="1">
      <alignment horizontal="center" shrinkToFit="0" vertical="center" wrapText="1"/>
    </xf>
    <xf borderId="0" fillId="3" fontId="24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3" fillId="4" fontId="14" numFmtId="0" xfId="0" applyAlignment="1" applyBorder="1" applyFont="1">
      <alignment horizontal="center" readingOrder="0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0" fontId="25" numFmtId="0" xfId="0" applyBorder="1" applyFont="1"/>
    <xf borderId="3" fillId="4" fontId="17" numFmtId="164" xfId="0" applyAlignment="1" applyBorder="1" applyFont="1" applyNumberFormat="1">
      <alignment horizontal="center" readingOrder="0" shrinkToFit="0" vertical="center" wrapText="1"/>
    </xf>
    <xf borderId="4" fillId="4" fontId="13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0" fontId="25" numFmtId="0" xfId="0" applyBorder="1" applyFont="1"/>
    <xf borderId="0" fillId="5" fontId="26" numFmtId="0" xfId="0" applyAlignment="1" applyFont="1">
      <alignment horizontal="center" readingOrder="0" shrinkToFit="0" vertical="center" wrapText="1"/>
    </xf>
    <xf borderId="0" fillId="5" fontId="12" numFmtId="167" xfId="0" applyAlignment="1" applyFont="1" applyNumberFormat="1">
      <alignment horizontal="center" readingOrder="0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0" fontId="27" numFmtId="0" xfId="0" applyAlignment="1" applyFont="1">
      <alignment readingOrder="0"/>
    </xf>
    <xf borderId="5" fillId="4" fontId="13" numFmtId="0" xfId="0" applyAlignment="1" applyBorder="1" applyFont="1">
      <alignment horizontal="center" readingOrder="0" shrinkToFit="0" vertical="center" wrapText="1"/>
    </xf>
    <xf borderId="5" fillId="4" fontId="14" numFmtId="0" xfId="0" applyAlignment="1" applyBorder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0" fontId="25" numFmtId="0" xfId="0" applyBorder="1" applyFont="1"/>
    <xf borderId="5" fillId="4" fontId="17" numFmtId="164" xfId="0" applyAlignment="1" applyBorder="1" applyFont="1" applyNumberFormat="1">
      <alignment horizontal="center" readingOrder="0" shrinkToFit="0" vertical="center" wrapText="1"/>
    </xf>
    <xf borderId="6" fillId="4" fontId="13" numFmtId="0" xfId="0" applyAlignment="1" applyBorder="1" applyFont="1">
      <alignment horizontal="center" readingOrder="0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6" fillId="0" fontId="25" numFmtId="0" xfId="0" applyBorder="1" applyFont="1"/>
    <xf borderId="0" fillId="5" fontId="28" numFmtId="0" xfId="0" applyAlignment="1" applyFont="1">
      <alignment horizontal="center" readingOrder="0" shrinkToFit="0" vertical="center" wrapText="1"/>
    </xf>
    <xf borderId="0" fillId="5" fontId="29" numFmtId="0" xfId="0" applyAlignment="1" applyFont="1">
      <alignment horizontal="center" readingOrder="0" shrinkToFit="0" vertical="center" wrapText="1"/>
    </xf>
    <xf borderId="0" fillId="5" fontId="29" numFmtId="165" xfId="0" applyAlignment="1" applyFont="1" applyNumberFormat="1">
      <alignment horizontal="center" readingOrder="0" shrinkToFit="0" vertical="center" wrapText="1"/>
    </xf>
    <xf borderId="0" fillId="5" fontId="30" numFmtId="0" xfId="0" applyAlignment="1" applyFont="1">
      <alignment horizontal="center" readingOrder="0" shrinkToFit="0" vertical="center" wrapText="1"/>
    </xf>
    <xf borderId="0" fillId="2" fontId="31" numFmtId="0" xfId="0" applyAlignment="1" applyFont="1">
      <alignment horizontal="center" shrinkToFit="0" vertical="center" wrapText="1"/>
    </xf>
    <xf borderId="2" fillId="5" fontId="28" numFmtId="1" xfId="0" applyAlignment="1" applyBorder="1" applyFont="1" applyNumberFormat="1">
      <alignment horizontal="center" readingOrder="0" shrinkToFit="0" vertical="center" wrapText="1"/>
    </xf>
    <xf borderId="5" fillId="4" fontId="17" numFmtId="168" xfId="0" applyAlignment="1" applyBorder="1" applyFont="1" applyNumberFormat="1">
      <alignment horizontal="center" readingOrder="0" shrinkToFit="0" vertical="center" wrapText="1"/>
    </xf>
    <xf borderId="0" fillId="5" fontId="19" numFmtId="0" xfId="0" applyAlignment="1" applyFont="1">
      <alignment horizontal="center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5" fontId="20" numFmtId="165" xfId="0" applyAlignment="1" applyFont="1" applyNumberForma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1" fillId="5" fontId="19" numFmtId="1" xfId="0" applyAlignment="1" applyBorder="1" applyFont="1" applyNumberFormat="1">
      <alignment horizontal="center" shrinkToFit="0" vertical="center" wrapText="1"/>
    </xf>
    <xf borderId="0" fillId="5" fontId="19" numFmtId="0" xfId="0" applyAlignment="1" applyFont="1">
      <alignment horizontal="center" shrinkToFit="0" vertical="center" wrapText="1"/>
    </xf>
    <xf borderId="2" fillId="5" fontId="19" numFmtId="1" xfId="0" applyAlignment="1" applyBorder="1" applyFont="1" applyNumberFormat="1">
      <alignment horizontal="center" shrinkToFit="0" vertical="center" wrapText="1"/>
    </xf>
    <xf borderId="1" fillId="5" fontId="19" numFmtId="1" xfId="0" applyAlignment="1" applyBorder="1" applyFont="1" applyNumberFormat="1">
      <alignment horizontal="center" readingOrder="0" shrinkToFit="0" vertical="center" wrapText="1"/>
    </xf>
    <xf borderId="1" fillId="5" fontId="19" numFmtId="1" xfId="0" applyAlignment="1" applyBorder="1" applyFont="1" applyNumberFormat="1">
      <alignment horizontal="center" shrinkToFit="0" vertical="center" wrapText="1"/>
    </xf>
    <xf borderId="2" fillId="5" fontId="19" numFmtId="1" xfId="0" applyAlignment="1" applyBorder="1" applyFont="1" applyNumberFormat="1">
      <alignment horizontal="center" shrinkToFit="0" vertical="center" wrapText="1"/>
    </xf>
    <xf borderId="6" fillId="5" fontId="25" numFmtId="0" xfId="0" applyBorder="1" applyFont="1"/>
    <xf borderId="0" fillId="6" fontId="19" numFmtId="0" xfId="0" applyAlignment="1" applyFill="1" applyFont="1">
      <alignment horizontal="center" shrinkToFit="0" vertical="center" wrapText="1"/>
    </xf>
    <xf borderId="0" fillId="6" fontId="20" numFmtId="0" xfId="0" applyAlignment="1" applyFont="1">
      <alignment horizontal="center" shrinkToFit="0" vertical="center" wrapText="1"/>
    </xf>
    <xf borderId="0" fillId="6" fontId="20" numFmtId="165" xfId="0" applyAlignment="1" applyFont="1" applyNumberForma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1" fillId="6" fontId="19" numFmtId="1" xfId="0" applyAlignment="1" applyBorder="1" applyFont="1" applyNumberFormat="1">
      <alignment horizontal="center" readingOrder="0" shrinkToFit="0" vertical="center" wrapText="1"/>
    </xf>
    <xf borderId="0" fillId="6" fontId="19" numFmtId="0" xfId="0" applyAlignment="1" applyFont="1">
      <alignment horizontal="center" readingOrder="0" shrinkToFit="0" vertical="center" wrapText="1"/>
    </xf>
    <xf borderId="2" fillId="6" fontId="19" numFmtId="1" xfId="0" applyAlignment="1" applyBorder="1" applyFont="1" applyNumberFormat="1">
      <alignment horizontal="center" shrinkToFit="0" vertical="center" wrapText="1"/>
    </xf>
    <xf borderId="7" fillId="2" fontId="32" numFmtId="0" xfId="0" applyAlignment="1" applyBorder="1" applyFont="1">
      <alignment horizontal="center" readingOrder="0" shrinkToFit="0" vertical="center" wrapText="1"/>
    </xf>
    <xf borderId="8" fillId="2" fontId="32" numFmtId="0" xfId="0" applyAlignment="1" applyBorder="1" applyFont="1">
      <alignment horizontal="center" readingOrder="0" shrinkToFit="0" vertical="center" wrapText="1"/>
    </xf>
    <xf borderId="8" fillId="0" fontId="25" numFmtId="0" xfId="0" applyBorder="1" applyFont="1"/>
    <xf borderId="9" fillId="0" fontId="25" numFmtId="0" xfId="0" applyBorder="1" applyFont="1"/>
    <xf borderId="10" fillId="2" fontId="32" numFmtId="0" xfId="0" applyAlignment="1" applyBorder="1" applyFont="1">
      <alignment horizontal="center" readingOrder="0" shrinkToFit="0" vertical="center" wrapText="1"/>
    </xf>
    <xf borderId="11" fillId="2" fontId="32" numFmtId="0" xfId="0" applyAlignment="1" applyBorder="1" applyFont="1">
      <alignment horizontal="center" readingOrder="0" shrinkToFit="0" vertical="center" wrapText="1"/>
    </xf>
    <xf borderId="12" fillId="0" fontId="25" numFmtId="0" xfId="0" applyBorder="1" applyFont="1"/>
    <xf borderId="13" fillId="0" fontId="25" numFmtId="0" xfId="0" applyBorder="1" applyFont="1"/>
    <xf borderId="14" fillId="2" fontId="18" numFmtId="0" xfId="0" applyAlignment="1" applyBorder="1" applyFont="1">
      <alignment horizontal="center" readingOrder="0" vertical="center"/>
    </xf>
    <xf borderId="15" fillId="3" fontId="18" numFmtId="0" xfId="0" applyAlignment="1" applyBorder="1" applyFont="1">
      <alignment horizontal="center" readingOrder="0" vertical="center"/>
    </xf>
    <xf borderId="16" fillId="3" fontId="18" numFmtId="0" xfId="0" applyAlignment="1" applyBorder="1" applyFont="1">
      <alignment horizontal="center" readingOrder="0" vertical="center"/>
    </xf>
    <xf borderId="17" fillId="3" fontId="18" numFmtId="0" xfId="0" applyAlignment="1" applyBorder="1" applyFont="1">
      <alignment horizontal="center" readingOrder="0" vertical="center"/>
    </xf>
    <xf borderId="18" fillId="2" fontId="18" numFmtId="0" xfId="0" applyAlignment="1" applyBorder="1" applyFont="1">
      <alignment horizontal="center" readingOrder="0" vertical="center"/>
    </xf>
    <xf borderId="19" fillId="2" fontId="33" numFmtId="0" xfId="0" applyAlignment="1" applyBorder="1" applyFont="1">
      <alignment horizontal="center" readingOrder="0" shrinkToFit="0" vertical="center" wrapText="1"/>
    </xf>
    <xf borderId="20" fillId="3" fontId="13" numFmtId="0" xfId="0" applyAlignment="1" applyBorder="1" applyFont="1">
      <alignment horizontal="center" readingOrder="0" shrinkToFit="0" vertical="center" wrapText="1"/>
    </xf>
    <xf borderId="0" fillId="3" fontId="34" numFmtId="0" xfId="0" applyAlignment="1" applyFont="1">
      <alignment horizontal="center" readingOrder="0" shrinkToFit="0" vertical="center" wrapText="1"/>
    </xf>
    <xf borderId="0" fillId="3" fontId="34" numFmtId="0" xfId="0" applyAlignment="1" applyFont="1">
      <alignment horizontal="center" readingOrder="0" vertical="center"/>
    </xf>
    <xf borderId="21" fillId="3" fontId="34" numFmtId="0" xfId="0" applyAlignment="1" applyBorder="1" applyFont="1">
      <alignment horizontal="center" readingOrder="0" shrinkToFit="0" vertical="center" wrapText="1"/>
    </xf>
    <xf borderId="22" fillId="2" fontId="35" numFmtId="0" xfId="0" applyAlignment="1" applyBorder="1" applyFont="1">
      <alignment horizontal="center" readingOrder="0" shrinkToFit="0" vertical="center" wrapText="1"/>
    </xf>
    <xf borderId="23" fillId="2" fontId="33" numFmtId="0" xfId="0" applyAlignment="1" applyBorder="1" applyFont="1">
      <alignment horizontal="center" readingOrder="0" shrinkToFit="0" vertical="center" wrapText="1"/>
    </xf>
    <xf borderId="9" fillId="2" fontId="35" numFmtId="0" xfId="0" applyAlignment="1" applyBorder="1" applyFont="1">
      <alignment horizontal="center" readingOrder="0" shrinkToFit="0" vertical="center" wrapText="1"/>
    </xf>
    <xf borderId="9" fillId="2" fontId="35" numFmtId="0" xfId="0" applyAlignment="1" applyBorder="1" applyFont="1">
      <alignment horizontal="center" shrinkToFit="0" vertical="center" wrapText="1"/>
    </xf>
    <xf borderId="24" fillId="3" fontId="13" numFmtId="0" xfId="0" applyAlignment="1" applyBorder="1" applyFont="1">
      <alignment horizontal="center" readingOrder="0" shrinkToFit="0" vertical="center" wrapText="1"/>
    </xf>
    <xf borderId="25" fillId="3" fontId="34" numFmtId="0" xfId="0" applyAlignment="1" applyBorder="1" applyFont="1">
      <alignment horizontal="center" readingOrder="0" shrinkToFit="0" vertical="center" wrapText="1"/>
    </xf>
    <xf borderId="25" fillId="3" fontId="34" numFmtId="0" xfId="0" applyAlignment="1" applyBorder="1" applyFont="1">
      <alignment horizontal="center" readingOrder="0" vertical="center"/>
    </xf>
    <xf borderId="26" fillId="3" fontId="34" numFmtId="0" xfId="0" applyAlignment="1" applyBorder="1" applyFont="1">
      <alignment horizontal="center" readingOrder="0" shrinkToFit="0" vertical="center" wrapText="1"/>
    </xf>
    <xf borderId="7" fillId="2" fontId="33" numFmtId="0" xfId="0" applyAlignment="1" applyBorder="1" applyFont="1">
      <alignment horizontal="center" readingOrder="0" shrinkToFit="0" vertical="center" wrapText="1"/>
    </xf>
    <xf borderId="27" fillId="2" fontId="33" numFmtId="0" xfId="0" applyAlignment="1" applyBorder="1" applyFont="1">
      <alignment horizontal="center" readingOrder="0" shrinkToFit="0" vertical="center" wrapText="1"/>
    </xf>
    <xf borderId="28" fillId="0" fontId="25" numFmtId="0" xfId="0" applyBorder="1" applyFont="1"/>
    <xf borderId="7" fillId="2" fontId="35" numFmtId="0" xfId="0" applyAlignment="1" applyBorder="1" applyFont="1">
      <alignment horizontal="center" shrinkToFit="0" vertical="center" wrapText="1"/>
    </xf>
    <xf borderId="11" fillId="2" fontId="33" numFmtId="0" xfId="0" applyAlignment="1" applyBorder="1" applyFont="1">
      <alignment horizontal="center" readingOrder="0" shrinkToFit="0" vertical="center" wrapText="1"/>
    </xf>
    <xf borderId="27" fillId="0" fontId="25" numFmtId="0" xfId="0" applyBorder="1" applyFont="1"/>
    <xf borderId="19" fillId="0" fontId="25" numFmtId="0" xfId="0" applyBorder="1" applyFont="1"/>
    <xf borderId="29" fillId="0" fontId="25" numFmtId="0" xfId="0" applyBorder="1" applyFont="1"/>
    <xf borderId="22" fillId="0" fontId="25" numFmtId="0" xfId="0" applyBorder="1" applyFont="1"/>
    <xf borderId="10" fillId="2" fontId="33" numFmtId="0" xfId="0" applyAlignment="1" applyBorder="1" applyFont="1">
      <alignment horizontal="center" readingOrder="0" shrinkToFit="0" vertical="center" wrapText="1"/>
    </xf>
    <xf borderId="11" fillId="2" fontId="36" numFmtId="0" xfId="0" applyAlignment="1" applyBorder="1" applyFont="1">
      <alignment horizontal="left" readingOrder="0" shrinkToFit="0" vertical="center" wrapText="1"/>
    </xf>
    <xf borderId="30" fillId="0" fontId="25" numFmtId="0" xfId="0" applyBorder="1" applyFont="1"/>
    <xf borderId="31" fillId="0" fontId="25" numFmtId="0" xfId="0" applyBorder="1" applyFont="1"/>
    <xf borderId="0" fillId="3" fontId="37" numFmtId="0" xfId="0" applyAlignment="1" applyFont="1">
      <alignment horizontal="left" vertical="center"/>
    </xf>
    <xf borderId="0" fillId="3" fontId="37" numFmtId="0" xfId="0" applyAlignment="1" applyFont="1">
      <alignment vertical="center"/>
    </xf>
    <xf borderId="0" fillId="3" fontId="37" numFmtId="0" xfId="0" applyAlignment="1" applyFont="1">
      <alignment horizontal="left" readingOrder="0" vertical="center"/>
    </xf>
    <xf borderId="32" fillId="4" fontId="37" numFmtId="0" xfId="0" applyAlignment="1" applyBorder="1" applyFont="1">
      <alignment vertical="center"/>
    </xf>
    <xf borderId="0" fillId="3" fontId="37" numFmtId="0" xfId="0" applyAlignment="1" applyFont="1">
      <alignment vertical="center"/>
    </xf>
    <xf borderId="0" fillId="3" fontId="37" numFmtId="0" xfId="0" applyAlignment="1" applyFont="1">
      <alignment readingOrder="0" vertical="center"/>
    </xf>
    <xf borderId="0" fillId="3" fontId="38" numFmtId="0" xfId="0" applyAlignment="1" applyFont="1">
      <alignment horizontal="left" vertical="center"/>
    </xf>
    <xf borderId="0" fillId="3" fontId="38" numFmtId="0" xfId="0" applyAlignment="1" applyFont="1">
      <alignment horizontal="left" readingOrder="0" vertical="center"/>
    </xf>
    <xf borderId="32" fillId="4" fontId="38" numFmtId="0" xfId="0" applyAlignment="1" applyBorder="1" applyFont="1">
      <alignment vertical="center"/>
    </xf>
    <xf borderId="0" fillId="3" fontId="38" numFmtId="0" xfId="0" applyAlignment="1" applyFont="1">
      <alignment vertical="center"/>
    </xf>
    <xf borderId="0" fillId="3" fontId="38" numFmtId="0" xfId="0" applyAlignment="1" applyFont="1">
      <alignment vertical="center"/>
    </xf>
    <xf borderId="0" fillId="3" fontId="38" numFmtId="0" xfId="0" applyAlignment="1" applyFont="1">
      <alignment readingOrder="0" vertical="center"/>
    </xf>
    <xf borderId="0" fillId="0" fontId="39" numFmtId="0" xfId="0" applyAlignment="1" applyFont="1">
      <alignment horizontal="left" vertical="center"/>
    </xf>
    <xf borderId="0" fillId="0" fontId="39" numFmtId="0" xfId="0" applyAlignment="1" applyFont="1">
      <alignment vertical="center"/>
    </xf>
    <xf borderId="0" fillId="0" fontId="39" numFmtId="0" xfId="0" applyAlignment="1" applyFont="1">
      <alignment horizontal="left" readingOrder="0" vertical="center"/>
    </xf>
    <xf borderId="32" fillId="4" fontId="39" numFmtId="0" xfId="0" applyAlignment="1" applyBorder="1" applyFont="1">
      <alignment vertical="center"/>
    </xf>
    <xf borderId="0" fillId="0" fontId="39" numFmtId="0" xfId="0" applyAlignment="1" applyFont="1">
      <alignment horizontal="right" vertical="center"/>
    </xf>
    <xf borderId="0" fillId="0" fontId="40" numFmtId="0" xfId="0" applyAlignment="1" applyFont="1">
      <alignment vertical="bottom"/>
    </xf>
    <xf borderId="0" fillId="0" fontId="39" numFmtId="0" xfId="0" applyAlignment="1" applyFont="1">
      <alignment shrinkToFit="0" vertical="center" wrapText="0"/>
    </xf>
    <xf borderId="0" fillId="0" fontId="12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33" fillId="4" fontId="39" numFmtId="0" xfId="0" applyAlignment="1" applyBorder="1" applyFont="1">
      <alignment vertical="center"/>
    </xf>
    <xf borderId="0" fillId="0" fontId="41" numFmtId="0" xfId="0" applyAlignment="1" applyFont="1">
      <alignment vertical="bottom"/>
    </xf>
    <xf borderId="0" fillId="0" fontId="41" numFmtId="0" xfId="0" applyAlignment="1" applyFont="1">
      <alignment readingOrder="0" vertical="bottom"/>
    </xf>
    <xf borderId="0" fillId="0" fontId="42" numFmtId="0" xfId="0" applyAlignment="1" applyFont="1">
      <alignment vertical="bottom"/>
    </xf>
    <xf borderId="0" fillId="0" fontId="41" numFmtId="0" xfId="0" applyAlignment="1" applyFont="1">
      <alignment shrinkToFit="0" vertical="bottom" wrapText="0"/>
    </xf>
    <xf borderId="0" fillId="0" fontId="39" numFmtId="0" xfId="0" applyAlignment="1" applyFont="1">
      <alignment horizontal="right" readingOrder="0" vertical="center"/>
    </xf>
    <xf borderId="0" fillId="0" fontId="43" numFmtId="0" xfId="0" applyAlignment="1" applyFont="1">
      <alignment readingOrder="0" shrinkToFit="0" vertical="center" wrapText="0"/>
    </xf>
    <xf borderId="0" fillId="0" fontId="44" numFmtId="0" xfId="0" applyAlignment="1" applyFont="1">
      <alignment readingOrder="0" vertical="bottom"/>
    </xf>
    <xf borderId="0" fillId="4" fontId="39" numFmtId="0" xfId="0" applyAlignment="1" applyFon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D2E823"/>
          <bgColor rgb="FFD2E82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9">
    <tableStyle count="2" pivot="0" name="118+-style">
      <tableStyleElement dxfId="1" type="firstRowStripe"/>
      <tableStyleElement dxfId="2" type="secondRowStripe"/>
    </tableStyle>
    <tableStyle count="2" pivot="0" name="118+-style 2">
      <tableStyleElement dxfId="1" type="firstRowStripe"/>
      <tableStyleElement dxfId="2" type="secondRowStripe"/>
    </tableStyle>
    <tableStyle count="2" pivot="0" name="118+-style 3">
      <tableStyleElement dxfId="1" type="firstRowStripe"/>
      <tableStyleElement dxfId="2" type="secondRowStripe"/>
    </tableStyle>
    <tableStyle count="2" pivot="0" name="118+-style 4">
      <tableStyleElement dxfId="1" type="firstRowStripe"/>
      <tableStyleElement dxfId="2" type="secondRowStripe"/>
    </tableStyle>
    <tableStyle count="2" pivot="0" name="118+-style 5">
      <tableStyleElement dxfId="1" type="firstRowStripe"/>
      <tableStyleElement dxfId="2" type="secondRowStripe"/>
    </tableStyle>
    <tableStyle count="2" pivot="0" name="118+-style 6">
      <tableStyleElement dxfId="1" type="firstRowStripe"/>
      <tableStyleElement dxfId="2" type="secondRowStripe"/>
    </tableStyle>
    <tableStyle count="2" pivot="0" name="118+-style 7">
      <tableStyleElement dxfId="1" type="firstRowStripe"/>
      <tableStyleElement dxfId="2" type="secondRowStripe"/>
    </tableStyle>
    <tableStyle count="2" pivot="0" name="118+-style 8">
      <tableStyleElement dxfId="1" type="firstRowStripe"/>
      <tableStyleElement dxfId="2" type="secondRowStripe"/>
    </tableStyle>
    <tableStyle count="2" pivot="0" name="118+-style 9">
      <tableStyleElement dxfId="1" type="firstRowStripe"/>
      <tableStyleElement dxfId="2" type="secondRowStripe"/>
    </tableStyle>
    <tableStyle count="2" pivot="0" name="118+-style 10">
      <tableStyleElement dxfId="1" type="firstRowStripe"/>
      <tableStyleElement dxfId="2" type="secondRowStripe"/>
    </tableStyle>
    <tableStyle count="2" pivot="0" name="118+-style 11">
      <tableStyleElement dxfId="1" type="firstRowStripe"/>
      <tableStyleElement dxfId="2" type="secondRowStripe"/>
    </tableStyle>
    <tableStyle count="2" pivot="0" name="118+-style 12">
      <tableStyleElement dxfId="1" type="firstRowStripe"/>
      <tableStyleElement dxfId="2" type="secondRowStripe"/>
    </tableStyle>
    <tableStyle count="2" pivot="0" name="118+-style 13">
      <tableStyleElement dxfId="1" type="firstRowStripe"/>
      <tableStyleElement dxfId="2" type="secondRowStripe"/>
    </tableStyle>
    <tableStyle count="2" pivot="0" name="118+-style 14">
      <tableStyleElement dxfId="1" type="firstRowStripe"/>
      <tableStyleElement dxfId="2" type="secondRowStripe"/>
    </tableStyle>
    <tableStyle count="2" pivot="0" name="118+-style 15">
      <tableStyleElement dxfId="1" type="firstRowStripe"/>
      <tableStyleElement dxfId="2" type="secondRowStripe"/>
    </tableStyle>
    <tableStyle count="2" pivot="0" name="118+-style 16">
      <tableStyleElement dxfId="1" type="firstRowStripe"/>
      <tableStyleElement dxfId="2" type="secondRowStripe"/>
    </tableStyle>
    <tableStyle count="2" pivot="0" name="118+-style 17">
      <tableStyleElement dxfId="1" type="firstRowStripe"/>
      <tableStyleElement dxfId="2" type="secondRowStripe"/>
    </tableStyle>
    <tableStyle count="2" pivot="0" name="118+-style 18">
      <tableStyleElement dxfId="1" type="firstRowStripe"/>
      <tableStyleElement dxfId="2" type="secondRowStripe"/>
    </tableStyle>
    <tableStyle count="2" pivot="0" name="118+-style 19">
      <tableStyleElement dxfId="1" type="firstRowStripe"/>
      <tableStyleElement dxfId="2" type="secondRowStripe"/>
    </tableStyle>
    <tableStyle count="2" pivot="0" name="118+-style 20">
      <tableStyleElement dxfId="1" type="firstRowStripe"/>
      <tableStyleElement dxfId="2" type="secondRowStripe"/>
    </tableStyle>
    <tableStyle count="2" pivot="0" name="118+-style 21">
      <tableStyleElement dxfId="1" type="firstRowStripe"/>
      <tableStyleElement dxfId="2" type="secondRowStripe"/>
    </tableStyle>
    <tableStyle count="2" pivot="0" name="118+-style 22">
      <tableStyleElement dxfId="1" type="firstRowStripe"/>
      <tableStyleElement dxfId="2" type="secondRowStripe"/>
    </tableStyle>
    <tableStyle count="2" pivot="0" name="118+-style 23">
      <tableStyleElement dxfId="1" type="firstRowStripe"/>
      <tableStyleElement dxfId="2" type="secondRowStripe"/>
    </tableStyle>
    <tableStyle count="2" pivot="0" name="118+-style 24">
      <tableStyleElement dxfId="1" type="firstRowStripe"/>
      <tableStyleElement dxfId="2" type="secondRowStripe"/>
    </tableStyle>
    <tableStyle count="2" pivot="0" name="118+-style 25">
      <tableStyleElement dxfId="1" type="firstRowStripe"/>
      <tableStyleElement dxfId="2" type="secondRowStripe"/>
    </tableStyle>
    <tableStyle count="2" pivot="0" name="118+-style 26">
      <tableStyleElement dxfId="1" type="firstRowStripe"/>
      <tableStyleElement dxfId="2" type="secondRowStripe"/>
    </tableStyle>
    <tableStyle count="2" pivot="0" name="118+-style 27">
      <tableStyleElement dxfId="1" type="firstRowStripe"/>
      <tableStyleElement dxfId="2" type="secondRowStripe"/>
    </tableStyle>
    <tableStyle count="2" pivot="0" name="118+-style 28">
      <tableStyleElement dxfId="1" type="firstRowStripe"/>
      <tableStyleElement dxfId="2" type="secondRowStripe"/>
    </tableStyle>
    <tableStyle count="2" pivot="0" name="118+-style 29">
      <tableStyleElement dxfId="1" type="firstRowStripe"/>
      <tableStyleElement dxfId="2" type="secondRowStripe"/>
    </tableStyle>
    <tableStyle count="2" pivot="0" name="118+-style 30">
      <tableStyleElement dxfId="1" type="firstRowStripe"/>
      <tableStyleElement dxfId="2" type="secondRowStripe"/>
    </tableStyle>
    <tableStyle count="2" pivot="0" name="thru 117-style">
      <tableStyleElement dxfId="1" type="firstRowStripe"/>
      <tableStyleElement dxfId="2" type="secondRowStripe"/>
    </tableStyle>
    <tableStyle count="2" pivot="0" name="thru 117-style 2">
      <tableStyleElement dxfId="1" type="firstRowStripe"/>
      <tableStyleElement dxfId="2" type="secondRowStripe"/>
    </tableStyle>
    <tableStyle count="2" pivot="0" name="thru 117-style 3">
      <tableStyleElement dxfId="1" type="firstRowStripe"/>
      <tableStyleElement dxfId="2" type="secondRowStripe"/>
    </tableStyle>
    <tableStyle count="2" pivot="0" name="thru 117-style 4">
      <tableStyleElement dxfId="1" type="firstRowStripe"/>
      <tableStyleElement dxfId="2" type="secondRowStripe"/>
    </tableStyle>
    <tableStyle count="2" pivot="0" name="thru 117-style 5">
      <tableStyleElement dxfId="1" type="firstRowStripe"/>
      <tableStyleElement dxfId="2" type="secondRowStripe"/>
    </tableStyle>
    <tableStyle count="2" pivot="0" name="thru 117-style 6">
      <tableStyleElement dxfId="1" type="firstRowStripe"/>
      <tableStyleElement dxfId="2" type="secondRowStripe"/>
    </tableStyle>
    <tableStyle count="2" pivot="0" name="thru 117-style 7">
      <tableStyleElement dxfId="1" type="firstRowStripe"/>
      <tableStyleElement dxfId="2" type="secondRowStripe"/>
    </tableStyle>
    <tableStyle count="2" pivot="0" name="thru 117-style 8">
      <tableStyleElement dxfId="1" type="firstRowStripe"/>
      <tableStyleElement dxfId="2" type="secondRowStripe"/>
    </tableStyle>
    <tableStyle count="2" pivot="0" name="thru 117-style 9">
      <tableStyleElement dxfId="1" type="firstRowStripe"/>
      <tableStyleElement dxfId="2" type="secondRowStripe"/>
    </tableStyle>
    <tableStyle count="2" pivot="0" name="thru 117-style 10">
      <tableStyleElement dxfId="1" type="firstRowStripe"/>
      <tableStyleElement dxfId="2" type="secondRowStripe"/>
    </tableStyle>
    <tableStyle count="2" pivot="0" name="thru 117-style 11">
      <tableStyleElement dxfId="1" type="firstRowStripe"/>
      <tableStyleElement dxfId="2" type="secondRowStripe"/>
    </tableStyle>
    <tableStyle count="2" pivot="0" name="thru 117-style 12">
      <tableStyleElement dxfId="1" type="firstRowStripe"/>
      <tableStyleElement dxfId="2" type="secondRowStripe"/>
    </tableStyle>
    <tableStyle count="2" pivot="0" name="thru 117-style 13">
      <tableStyleElement dxfId="1" type="firstRowStripe"/>
      <tableStyleElement dxfId="2" type="secondRowStripe"/>
    </tableStyle>
    <tableStyle count="2" pivot="0" name="thru 117-style 14">
      <tableStyleElement dxfId="1" type="firstRowStripe"/>
      <tableStyleElement dxfId="2" type="secondRowStripe"/>
    </tableStyle>
    <tableStyle count="2" pivot="0" name="thru 117-style 15">
      <tableStyleElement dxfId="1" type="firstRowStripe"/>
      <tableStyleElement dxfId="2" type="secondRowStripe"/>
    </tableStyle>
    <tableStyle count="2" pivot="0" name="thru 117-style 16">
      <tableStyleElement dxfId="1" type="firstRowStripe"/>
      <tableStyleElement dxfId="2" type="secondRowStripe"/>
    </tableStyle>
    <tableStyle count="2" pivot="0" name="thru 117-style 17">
      <tableStyleElement dxfId="1" type="firstRowStripe"/>
      <tableStyleElement dxfId="2" type="secondRowStripe"/>
    </tableStyle>
    <tableStyle count="2" pivot="0" name="thru 117-style 18">
      <tableStyleElement dxfId="1" type="firstRowStripe"/>
      <tableStyleElement dxfId="2" type="secondRowStripe"/>
    </tableStyle>
    <tableStyle count="2" pivot="0" name="thru 117-style 19">
      <tableStyleElement dxfId="1" type="firstRowStripe"/>
      <tableStyleElement dxfId="2" type="secondRowStripe"/>
    </tableStyle>
    <tableStyle count="2" pivot="0" name="thru 117-style 20">
      <tableStyleElement dxfId="1" type="firstRowStripe"/>
      <tableStyleElement dxfId="2" type="secondRowStripe"/>
    </tableStyle>
    <tableStyle count="2" pivot="0" name="thru 117-style 21">
      <tableStyleElement dxfId="1" type="firstRowStripe"/>
      <tableStyleElement dxfId="2" type="secondRowStripe"/>
    </tableStyle>
    <tableStyle count="2" pivot="0" name="thru 117-style 22">
      <tableStyleElement dxfId="1" type="firstRowStripe"/>
      <tableStyleElement dxfId="2" type="secondRowStripe"/>
    </tableStyle>
    <tableStyle count="2" pivot="0" name="thru 117-style 23">
      <tableStyleElement dxfId="1" type="firstRowStripe"/>
      <tableStyleElement dxfId="2" type="secondRowStripe"/>
    </tableStyle>
    <tableStyle count="2" pivot="0" name="thru 117-style 24">
      <tableStyleElement dxfId="1" type="firstRowStripe"/>
      <tableStyleElement dxfId="2" type="secondRowStripe"/>
    </tableStyle>
    <tableStyle count="2" pivot="0" name="thru 117-style 25">
      <tableStyleElement dxfId="1" type="firstRowStripe"/>
      <tableStyleElement dxfId="2" type="secondRowStripe"/>
    </tableStyle>
    <tableStyle count="2" pivot="0" name="thru 117-style 26">
      <tableStyleElement dxfId="1" type="firstRowStripe"/>
      <tableStyleElement dxfId="2" type="secondRowStripe"/>
    </tableStyle>
    <tableStyle count="2" pivot="0" name="thru 117-style 27">
      <tableStyleElement dxfId="1" type="firstRowStripe"/>
      <tableStyleElement dxfId="2" type="secondRowStripe"/>
    </tableStyle>
    <tableStyle count="2" pivot="0" name="thru 117-style 28">
      <tableStyleElement dxfId="1" type="firstRowStripe"/>
      <tableStyleElement dxfId="2" type="secondRowStripe"/>
    </tableStyle>
    <tableStyle count="2" pivot="0" name="thru 117-style 29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GRIP STRENGTH</a:t>
            </a:r>
          </a:p>
        </c:rich>
      </c:tx>
      <c:overlay val="0"/>
    </c:title>
    <c:plotArea>
      <c:layout/>
      <c:lineChart>
        <c:ser>
          <c:idx val="0"/>
          <c:order val="0"/>
          <c:tx>
            <c:v>LEFT</c:v>
          </c:tx>
          <c:spPr>
            <a:ln cmpd="sng">
              <a:solidFill>
                <a:srgbClr val="8821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Dashboard!$C$4:$C$15</c:f>
              <c:numCache/>
            </c:numRef>
          </c:val>
          <c:smooth val="1"/>
        </c:ser>
        <c:ser>
          <c:idx val="1"/>
          <c:order val="1"/>
          <c:tx>
            <c:v>RIGHT</c:v>
          </c:tx>
          <c:spPr>
            <a:ln cmpd="sng">
              <a:solidFill>
                <a:srgbClr val="D2E823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Dashboard!$D$4:$D$15</c:f>
              <c:numCache/>
            </c:numRef>
          </c:val>
          <c:smooth val="1"/>
        </c:ser>
        <c:axId val="635151389"/>
        <c:axId val="1174328141"/>
      </c:lineChart>
      <c:catAx>
        <c:axId val="635151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74328141"/>
      </c:catAx>
      <c:valAx>
        <c:axId val="1174328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151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WEIGHT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8821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Dashboard!$E$4:$E$15</c:f>
              <c:numCache/>
            </c:numRef>
          </c:val>
          <c:smooth val="1"/>
        </c:ser>
        <c:axId val="423003562"/>
        <c:axId val="1793189804"/>
      </c:lineChart>
      <c:catAx>
        <c:axId val="423003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3189804"/>
      </c:catAx>
      <c:valAx>
        <c:axId val="1793189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003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BODY FAT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8821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Dashboard!$F$4:$F$15</c:f>
              <c:numCache/>
            </c:numRef>
          </c:val>
          <c:smooth val="1"/>
        </c:ser>
        <c:axId val="1785520357"/>
        <c:axId val="134532844"/>
      </c:lineChart>
      <c:catAx>
        <c:axId val="1785520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32844"/>
      </c:catAx>
      <c:valAx>
        <c:axId val="134532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520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28</xdr:row>
      <xdr:rowOff>0</xdr:rowOff>
    </xdr:from>
    <xdr:ext cx="6324600" cy="2828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39</xdr:row>
      <xdr:rowOff>0</xdr:rowOff>
    </xdr:from>
    <xdr:ext cx="6324600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50</xdr:row>
      <xdr:rowOff>0</xdr:rowOff>
    </xdr:from>
    <xdr:ext cx="6324600" cy="3143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irk Wessman" id="{268096cd-1a34-4fa4-8897-19f1c8be854f}" providerId="google-sheets"/>
</x18tc:personList>
</file>

<file path=xl/tables/table1.xml><?xml version="1.0" encoding="utf-8"?>
<table xmlns="http://schemas.openxmlformats.org/spreadsheetml/2006/main" headerRowCount="0" ref="B8:T15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T27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2:T39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3" showColumnStripes="0" showFirstColumn="1" showLastColumn="1" showRowStripes="1"/>
</table>
</file>

<file path=xl/tables/table4.xml><?xml version="1.0" encoding="utf-8"?>
<table xmlns="http://schemas.openxmlformats.org/spreadsheetml/2006/main" headerRowCount="0" ref="B44:T51" displayName="Table_4" name="Table_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4" showColumnStripes="0" showFirstColumn="1" showLastColumn="1" showRowStripes="1"/>
</table>
</file>

<file path=xl/tables/table5.xml><?xml version="1.0" encoding="utf-8"?>
<table xmlns="http://schemas.openxmlformats.org/spreadsheetml/2006/main" headerRowCount="0" ref="B56:T63" displayName="Table_5" name="Table_5" id="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5" showColumnStripes="0" showFirstColumn="1" showLastColumn="1" showRowStripes="1"/>
</table>
</file>

<file path=xl/tables/table6.xml><?xml version="1.0" encoding="utf-8"?>
<table xmlns="http://schemas.openxmlformats.org/spreadsheetml/2006/main" headerRowCount="0" ref="B68:T75" displayName="Table_6" name="Table_6" id="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6" showColumnStripes="0" showFirstColumn="1" showLastColumn="1" showRowStripes="1"/>
</table>
</file>

<file path=xl/tables/table7.xml><?xml version="1.0" encoding="utf-8"?>
<table xmlns="http://schemas.openxmlformats.org/spreadsheetml/2006/main" headerRowCount="0" ref="B80:T87" displayName="Table_7" name="Table_7" id="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7" showColumnStripes="0" showFirstColumn="1" showLastColumn="1" showRowStripes="1"/>
</table>
</file>

<file path=xl/tables/table8.xml><?xml version="1.0" encoding="utf-8"?>
<table xmlns="http://schemas.openxmlformats.org/spreadsheetml/2006/main" headerRowCount="0" ref="B92:T99" displayName="Table_8" name="Table_8" id="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8" showColumnStripes="0" showFirstColumn="1" showLastColumn="1" showRowStripes="1"/>
</table>
</file>

<file path=xl/tables/table9.xml><?xml version="1.0" encoding="utf-8"?>
<table xmlns="http://schemas.openxmlformats.org/spreadsheetml/2006/main" headerRowCount="0" ref="B104:T111" displayName="Table_9" name="Table_9" id="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116:T123" displayName="Table_10" name="Table_10" id="1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128:T135" displayName="Table_11" name="Table_11" id="1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140:T147" displayName="Table_12" name="Table_12" id="1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152:T159" displayName="Table_13" name="Table_13" id="1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164:T171" displayName="Table_14" name="Table_14" id="1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176:T183" displayName="Table_15" name="Table_15" id="1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188:T195" displayName="Table_16" name="Table_16" id="1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200:T207" displayName="Table_17" name="Table_17" id="1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212:U219" displayName="Table_18" name="Table_18" id="1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118+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224:T231" displayName="Table_19" name="Table_19" id="1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236:T243" displayName="Table_20" name="Table_20" id="2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B248:T255" displayName="Table_21" name="Table_21" id="2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260:T267" displayName="Table_22" name="Table_22" id="2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B272:T279" displayName="Table_23" name="Table_23" id="2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B284:T291" displayName="Table_24" name="Table_24" id="2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296:T303" displayName="Table_25" name="Table_25" id="2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B308:T315" displayName="Table_26" name="Table_26" id="2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320:T327" displayName="Table_27" name="Table_27" id="2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332:T339" displayName="Table_28" name="Table_28" id="2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344:T351" displayName="Table_29" name="Table_29" id="2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B356:T363" displayName="Table_30" name="Table_30" id="3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18+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B7:T10" displayName="Table_31" name="Table_31" id="3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" showColumnStripes="0" showFirstColumn="1" showLastColumn="1" showRowStripes="1"/>
</table>
</file>

<file path=xl/tables/table32.xml><?xml version="1.0" encoding="utf-8"?>
<table xmlns="http://schemas.openxmlformats.org/spreadsheetml/2006/main" headerRowCount="0" ref="B15:T19" displayName="Table_32" name="Table_32" id="3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" showColumnStripes="0" showFirstColumn="1" showLastColumn="1" showRowStripes="1"/>
</table>
</file>

<file path=xl/tables/table33.xml><?xml version="1.0" encoding="utf-8"?>
<table xmlns="http://schemas.openxmlformats.org/spreadsheetml/2006/main" headerRowCount="0" ref="B24:T31" displayName="Table_33" name="Table_33" id="3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3" showColumnStripes="0" showFirstColumn="1" showLastColumn="1" showRowStripes="1"/>
</table>
</file>

<file path=xl/tables/table34.xml><?xml version="1.0" encoding="utf-8"?>
<table xmlns="http://schemas.openxmlformats.org/spreadsheetml/2006/main" headerRowCount="0" ref="B36:T43" displayName="Table_34" name="Table_34" id="3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4" showColumnStripes="0" showFirstColumn="1" showLastColumn="1" showRowStripes="1"/>
</table>
</file>

<file path=xl/tables/table35.xml><?xml version="1.0" encoding="utf-8"?>
<table xmlns="http://schemas.openxmlformats.org/spreadsheetml/2006/main" headerRowCount="0" ref="B48:T55" displayName="Table_35" name="Table_35" id="3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5" showColumnStripes="0" showFirstColumn="1" showLastColumn="1" showRowStripes="1"/>
</table>
</file>

<file path=xl/tables/table36.xml><?xml version="1.0" encoding="utf-8"?>
<table xmlns="http://schemas.openxmlformats.org/spreadsheetml/2006/main" headerRowCount="0" ref="B60:T67" displayName="Table_36" name="Table_36" id="3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6" showColumnStripes="0" showFirstColumn="1" showLastColumn="1" showRowStripes="1"/>
</table>
</file>

<file path=xl/tables/table37.xml><?xml version="1.0" encoding="utf-8"?>
<table xmlns="http://schemas.openxmlformats.org/spreadsheetml/2006/main" headerRowCount="0" ref="B72:T79" displayName="Table_37" name="Table_37" id="3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7" showColumnStripes="0" showFirstColumn="1" showLastColumn="1" showRowStripes="1"/>
</table>
</file>

<file path=xl/tables/table38.xml><?xml version="1.0" encoding="utf-8"?>
<table xmlns="http://schemas.openxmlformats.org/spreadsheetml/2006/main" headerRowCount="0" ref="B84:T91" displayName="Table_38" name="Table_38" id="3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8" showColumnStripes="0" showFirstColumn="1" showLastColumn="1" showRowStripes="1"/>
</table>
</file>

<file path=xl/tables/table39.xml><?xml version="1.0" encoding="utf-8"?>
<table xmlns="http://schemas.openxmlformats.org/spreadsheetml/2006/main" headerRowCount="0" ref="B96:T103" displayName="Table_39" name="Table_39" id="3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9" showColumnStripes="0" showFirstColumn="1" showLastColumn="1" showRowStripes="1"/>
</table>
</file>

<file path=xl/tables/table40.xml><?xml version="1.0" encoding="utf-8"?>
<table xmlns="http://schemas.openxmlformats.org/spreadsheetml/2006/main" headerRowCount="0" ref="B108:T115" displayName="Table_40" name="Table_40" id="4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0" showColumnStripes="0" showFirstColumn="1" showLastColumn="1" showRowStripes="1"/>
</table>
</file>

<file path=xl/tables/table41.xml><?xml version="1.0" encoding="utf-8"?>
<table xmlns="http://schemas.openxmlformats.org/spreadsheetml/2006/main" headerRowCount="0" ref="B120:T127" displayName="Table_41" name="Table_41" id="4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1" showColumnStripes="0" showFirstColumn="1" showLastColumn="1" showRowStripes="1"/>
</table>
</file>

<file path=xl/tables/table42.xml><?xml version="1.0" encoding="utf-8"?>
<table xmlns="http://schemas.openxmlformats.org/spreadsheetml/2006/main" headerRowCount="0" ref="B132:T139" displayName="Table_42" name="Table_42" id="4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2" showColumnStripes="0" showFirstColumn="1" showLastColumn="1" showRowStripes="1"/>
</table>
</file>

<file path=xl/tables/table43.xml><?xml version="1.0" encoding="utf-8"?>
<table xmlns="http://schemas.openxmlformats.org/spreadsheetml/2006/main" headerRowCount="0" ref="B144:T151" displayName="Table_43" name="Table_43" id="4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3" showColumnStripes="0" showFirstColumn="1" showLastColumn="1" showRowStripes="1"/>
</table>
</file>

<file path=xl/tables/table44.xml><?xml version="1.0" encoding="utf-8"?>
<table xmlns="http://schemas.openxmlformats.org/spreadsheetml/2006/main" headerRowCount="0" ref="B156:T163" displayName="Table_44" name="Table_44" id="4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4" showColumnStripes="0" showFirstColumn="1" showLastColumn="1" showRowStripes="1"/>
</table>
</file>

<file path=xl/tables/table45.xml><?xml version="1.0" encoding="utf-8"?>
<table xmlns="http://schemas.openxmlformats.org/spreadsheetml/2006/main" headerRowCount="0" ref="B168:T175" displayName="Table_45" name="Table_45" id="4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5" showColumnStripes="0" showFirstColumn="1" showLastColumn="1" showRowStripes="1"/>
</table>
</file>

<file path=xl/tables/table46.xml><?xml version="1.0" encoding="utf-8"?>
<table xmlns="http://schemas.openxmlformats.org/spreadsheetml/2006/main" headerRowCount="0" ref="B180:T187" displayName="Table_46" name="Table_46" id="4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6" showColumnStripes="0" showFirstColumn="1" showLastColumn="1" showRowStripes="1"/>
</table>
</file>

<file path=xl/tables/table47.xml><?xml version="1.0" encoding="utf-8"?>
<table xmlns="http://schemas.openxmlformats.org/spreadsheetml/2006/main" headerRowCount="0" ref="B192:T199" displayName="Table_47" name="Table_47" id="4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7" showColumnStripes="0" showFirstColumn="1" showLastColumn="1" showRowStripes="1"/>
</table>
</file>

<file path=xl/tables/table48.xml><?xml version="1.0" encoding="utf-8"?>
<table xmlns="http://schemas.openxmlformats.org/spreadsheetml/2006/main" headerRowCount="0" ref="B204:U211" displayName="Table_48" name="Table_48" id="4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hru 117-style 18" showColumnStripes="0" showFirstColumn="1" showLastColumn="1" showRowStripes="1"/>
</table>
</file>

<file path=xl/tables/table49.xml><?xml version="1.0" encoding="utf-8"?>
<table xmlns="http://schemas.openxmlformats.org/spreadsheetml/2006/main" headerRowCount="0" ref="B216:T223" displayName="Table_49" name="Table_49" id="4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19" showColumnStripes="0" showFirstColumn="1" showLastColumn="1" showRowStripes="1"/>
</table>
</file>

<file path=xl/tables/table50.xml><?xml version="1.0" encoding="utf-8"?>
<table xmlns="http://schemas.openxmlformats.org/spreadsheetml/2006/main" headerRowCount="0" ref="B228:T235" displayName="Table_50" name="Table_50" id="5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0" showColumnStripes="0" showFirstColumn="1" showLastColumn="1" showRowStripes="1"/>
</table>
</file>

<file path=xl/tables/table51.xml><?xml version="1.0" encoding="utf-8"?>
<table xmlns="http://schemas.openxmlformats.org/spreadsheetml/2006/main" headerRowCount="0" ref="B240:T247" displayName="Table_51" name="Table_51" id="5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1" showColumnStripes="0" showFirstColumn="1" showLastColumn="1" showRowStripes="1"/>
</table>
</file>

<file path=xl/tables/table52.xml><?xml version="1.0" encoding="utf-8"?>
<table xmlns="http://schemas.openxmlformats.org/spreadsheetml/2006/main" headerRowCount="0" ref="B252:T259" displayName="Table_52" name="Table_52" id="5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2" showColumnStripes="0" showFirstColumn="1" showLastColumn="1" showRowStripes="1"/>
</table>
</file>

<file path=xl/tables/table53.xml><?xml version="1.0" encoding="utf-8"?>
<table xmlns="http://schemas.openxmlformats.org/spreadsheetml/2006/main" headerRowCount="0" ref="B264:T271" displayName="Table_53" name="Table_53" id="5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3" showColumnStripes="0" showFirstColumn="1" showLastColumn="1" showRowStripes="1"/>
</table>
</file>

<file path=xl/tables/table54.xml><?xml version="1.0" encoding="utf-8"?>
<table xmlns="http://schemas.openxmlformats.org/spreadsheetml/2006/main" headerRowCount="0" ref="B276:T283" displayName="Table_54" name="Table_54" id="5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4" showColumnStripes="0" showFirstColumn="1" showLastColumn="1" showRowStripes="1"/>
</table>
</file>

<file path=xl/tables/table55.xml><?xml version="1.0" encoding="utf-8"?>
<table xmlns="http://schemas.openxmlformats.org/spreadsheetml/2006/main" headerRowCount="0" ref="B288:T295" displayName="Table_55" name="Table_55" id="5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5" showColumnStripes="0" showFirstColumn="1" showLastColumn="1" showRowStripes="1"/>
</table>
</file>

<file path=xl/tables/table56.xml><?xml version="1.0" encoding="utf-8"?>
<table xmlns="http://schemas.openxmlformats.org/spreadsheetml/2006/main" headerRowCount="0" ref="B300:T307" displayName="Table_56" name="Table_56" id="5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6" showColumnStripes="0" showFirstColumn="1" showLastColumn="1" showRowStripes="1"/>
</table>
</file>

<file path=xl/tables/table57.xml><?xml version="1.0" encoding="utf-8"?>
<table xmlns="http://schemas.openxmlformats.org/spreadsheetml/2006/main" headerRowCount="0" ref="B312:T319" displayName="Table_57" name="Table_57" id="5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7" showColumnStripes="0" showFirstColumn="1" showLastColumn="1" showRowStripes="1"/>
</table>
</file>

<file path=xl/tables/table58.xml><?xml version="1.0" encoding="utf-8"?>
<table xmlns="http://schemas.openxmlformats.org/spreadsheetml/2006/main" headerRowCount="0" ref="B336:T343" displayName="Table_58" name="Table_58" id="5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8" showColumnStripes="0" showFirstColumn="1" showLastColumn="1" showRowStripes="1"/>
</table>
</file>

<file path=xl/tables/table59.xml><?xml version="1.0" encoding="utf-8"?>
<table xmlns="http://schemas.openxmlformats.org/spreadsheetml/2006/main" headerRowCount="0" ref="B348:T355" displayName="Table_59" name="Table_59" id="5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hru 117-style 2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5" dT="2024-10-23T13:42:34.00" personId="{268096cd-1a34-4fa4-8897-19f1c8be854f}" id="{6c4c49a8-ca6d-4411-b651-b706df930536}" done="0">
    <x18tc:text xml:space="preserve">Didn't hit 10 on last 2 sets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7.xml"/><Relationship Id="rId62" Type="http://schemas.openxmlformats.org/officeDocument/2006/relationships/table" Target="../tables/table29.xml"/><Relationship Id="rId61" Type="http://schemas.openxmlformats.org/officeDocument/2006/relationships/table" Target="../tables/table28.xml"/><Relationship Id="rId42" Type="http://schemas.openxmlformats.org/officeDocument/2006/relationships/table" Target="../tables/table9.xml"/><Relationship Id="rId41" Type="http://schemas.openxmlformats.org/officeDocument/2006/relationships/table" Target="../tables/table8.xml"/><Relationship Id="rId63" Type="http://schemas.openxmlformats.org/officeDocument/2006/relationships/table" Target="../tables/table30.xml"/><Relationship Id="rId44" Type="http://schemas.openxmlformats.org/officeDocument/2006/relationships/table" Target="../tables/table11.xml"/><Relationship Id="rId43" Type="http://schemas.openxmlformats.org/officeDocument/2006/relationships/table" Target="../tables/table10.xml"/><Relationship Id="rId46" Type="http://schemas.openxmlformats.org/officeDocument/2006/relationships/table" Target="../tables/table13.xml"/><Relationship Id="rId45" Type="http://schemas.openxmlformats.org/officeDocument/2006/relationships/table" Target="../tables/table12.xml"/><Relationship Id="rId60" Type="http://schemas.openxmlformats.org/officeDocument/2006/relationships/table" Target="../tables/table27.xml"/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8" Type="http://schemas.openxmlformats.org/officeDocument/2006/relationships/table" Target="../tables/table15.xml"/><Relationship Id="rId47" Type="http://schemas.openxmlformats.org/officeDocument/2006/relationships/table" Target="../tables/table14.xml"/><Relationship Id="rId49" Type="http://schemas.openxmlformats.org/officeDocument/2006/relationships/table" Target="../tables/table16.xml"/><Relationship Id="rId51" Type="http://schemas.openxmlformats.org/officeDocument/2006/relationships/table" Target="../tables/table18.xml"/><Relationship Id="rId50" Type="http://schemas.openxmlformats.org/officeDocument/2006/relationships/table" Target="../tables/table17.xml"/><Relationship Id="rId53" Type="http://schemas.openxmlformats.org/officeDocument/2006/relationships/table" Target="../tables/table20.xml"/><Relationship Id="rId52" Type="http://schemas.openxmlformats.org/officeDocument/2006/relationships/table" Target="../tables/table19.xml"/><Relationship Id="rId55" Type="http://schemas.openxmlformats.org/officeDocument/2006/relationships/table" Target="../tables/table22.xml"/><Relationship Id="rId54" Type="http://schemas.openxmlformats.org/officeDocument/2006/relationships/table" Target="../tables/table21.xml"/><Relationship Id="rId35" Type="http://schemas.openxmlformats.org/officeDocument/2006/relationships/table" Target="../tables/table2.xml"/><Relationship Id="rId57" Type="http://schemas.openxmlformats.org/officeDocument/2006/relationships/table" Target="../tables/table24.xml"/><Relationship Id="rId34" Type="http://schemas.openxmlformats.org/officeDocument/2006/relationships/table" Target="../tables/table1.xml"/><Relationship Id="rId56" Type="http://schemas.openxmlformats.org/officeDocument/2006/relationships/table" Target="../tables/table23.xml"/><Relationship Id="rId37" Type="http://schemas.openxmlformats.org/officeDocument/2006/relationships/table" Target="../tables/table4.xml"/><Relationship Id="rId59" Type="http://schemas.openxmlformats.org/officeDocument/2006/relationships/table" Target="../tables/table26.xml"/><Relationship Id="rId36" Type="http://schemas.openxmlformats.org/officeDocument/2006/relationships/table" Target="../tables/table3.xml"/><Relationship Id="rId58" Type="http://schemas.openxmlformats.org/officeDocument/2006/relationships/table" Target="../tables/table25.xml"/><Relationship Id="rId39" Type="http://schemas.openxmlformats.org/officeDocument/2006/relationships/table" Target="../tables/table6.xml"/><Relationship Id="rId3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6.xml"/><Relationship Id="rId62" Type="http://schemas.openxmlformats.org/officeDocument/2006/relationships/table" Target="../tables/table58.xml"/><Relationship Id="rId61" Type="http://schemas.openxmlformats.org/officeDocument/2006/relationships/table" Target="../tables/table57.xml"/><Relationship Id="rId42" Type="http://schemas.openxmlformats.org/officeDocument/2006/relationships/table" Target="../tables/table38.xml"/><Relationship Id="rId41" Type="http://schemas.openxmlformats.org/officeDocument/2006/relationships/table" Target="../tables/table37.xml"/><Relationship Id="rId63" Type="http://schemas.openxmlformats.org/officeDocument/2006/relationships/table" Target="../tables/table59.xml"/><Relationship Id="rId44" Type="http://schemas.openxmlformats.org/officeDocument/2006/relationships/table" Target="../tables/table40.xml"/><Relationship Id="rId43" Type="http://schemas.openxmlformats.org/officeDocument/2006/relationships/table" Target="../tables/table39.xml"/><Relationship Id="rId46" Type="http://schemas.openxmlformats.org/officeDocument/2006/relationships/table" Target="../tables/table42.xml"/><Relationship Id="rId45" Type="http://schemas.openxmlformats.org/officeDocument/2006/relationships/table" Target="../tables/table41.xml"/><Relationship Id="rId60" Type="http://schemas.openxmlformats.org/officeDocument/2006/relationships/table" Target="../tables/table56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48" Type="http://schemas.openxmlformats.org/officeDocument/2006/relationships/table" Target="../tables/table44.xml"/><Relationship Id="rId47" Type="http://schemas.openxmlformats.org/officeDocument/2006/relationships/table" Target="../tables/table43.xml"/><Relationship Id="rId49" Type="http://schemas.openxmlformats.org/officeDocument/2006/relationships/table" Target="../tables/table45.xml"/><Relationship Id="rId5" Type="http://schemas.openxmlformats.org/officeDocument/2006/relationships/vmlDrawing" Target="../drawings/vmlDrawing2.vml"/><Relationship Id="rId51" Type="http://schemas.openxmlformats.org/officeDocument/2006/relationships/table" Target="../tables/table47.xml"/><Relationship Id="rId50" Type="http://schemas.openxmlformats.org/officeDocument/2006/relationships/table" Target="../tables/table46.xml"/><Relationship Id="rId53" Type="http://schemas.openxmlformats.org/officeDocument/2006/relationships/table" Target="../tables/table49.xml"/><Relationship Id="rId52" Type="http://schemas.openxmlformats.org/officeDocument/2006/relationships/table" Target="../tables/table48.xml"/><Relationship Id="rId55" Type="http://schemas.openxmlformats.org/officeDocument/2006/relationships/table" Target="../tables/table51.xml"/><Relationship Id="rId54" Type="http://schemas.openxmlformats.org/officeDocument/2006/relationships/table" Target="../tables/table50.xml"/><Relationship Id="rId35" Type="http://schemas.openxmlformats.org/officeDocument/2006/relationships/table" Target="../tables/table31.xml"/><Relationship Id="rId57" Type="http://schemas.openxmlformats.org/officeDocument/2006/relationships/table" Target="../tables/table53.xml"/><Relationship Id="rId56" Type="http://schemas.openxmlformats.org/officeDocument/2006/relationships/table" Target="../tables/table52.xml"/><Relationship Id="rId37" Type="http://schemas.openxmlformats.org/officeDocument/2006/relationships/table" Target="../tables/table33.xml"/><Relationship Id="rId59" Type="http://schemas.openxmlformats.org/officeDocument/2006/relationships/table" Target="../tables/table55.xml"/><Relationship Id="rId36" Type="http://schemas.openxmlformats.org/officeDocument/2006/relationships/table" Target="../tables/table32.xml"/><Relationship Id="rId58" Type="http://schemas.openxmlformats.org/officeDocument/2006/relationships/table" Target="../tables/table54.xml"/><Relationship Id="rId39" Type="http://schemas.openxmlformats.org/officeDocument/2006/relationships/table" Target="../tables/table35.xml"/><Relationship Id="rId38" Type="http://schemas.openxmlformats.org/officeDocument/2006/relationships/table" Target="../tables/table3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2u-8FNBy6Ik" TargetMode="External"/><Relationship Id="rId194" Type="http://schemas.openxmlformats.org/officeDocument/2006/relationships/hyperlink" Target="https://www.youtube.com/watch?v=jrYAwn2lpFI&amp;pp=ygUqQm9keXdlaWdodCBSZXZlcnNlIEx1bmdlIFdpdGggQmxvY2tlZCBLbmVl" TargetMode="External"/><Relationship Id="rId193" Type="http://schemas.openxmlformats.org/officeDocument/2006/relationships/hyperlink" Target="https://www.youtube.com/watch?v=0lLIWWSmMm4&amp;pp=ygUYQm9keXdlaWdodCBMYXRlcmFsIFNxdWF0" TargetMode="External"/><Relationship Id="rId192" Type="http://schemas.openxmlformats.org/officeDocument/2006/relationships/hyperlink" Target="https://www.youtube.com/watch?v=t8BrYuUVQl0&amp;pp=ygUoQm9keXdlaWdodCBMYXRlcmFsIEx1bmdlIFdpdGggQXNzaXN0YW5jZQ%3D%3D" TargetMode="External"/><Relationship Id="rId191" Type="http://schemas.openxmlformats.org/officeDocument/2006/relationships/hyperlink" Target="https://www.youtube.com/watch?v=KJVa28Rd6HA" TargetMode="External"/><Relationship Id="rId187" Type="http://schemas.openxmlformats.org/officeDocument/2006/relationships/hyperlink" Target="https://www.youtube.com/watch?v=WCFCdxzFBa4" TargetMode="External"/><Relationship Id="rId186" Type="http://schemas.openxmlformats.org/officeDocument/2006/relationships/hyperlink" Target="https://www.youtube.com/watch?v=3XDriUn0udo" TargetMode="External"/><Relationship Id="rId185" Type="http://schemas.openxmlformats.org/officeDocument/2006/relationships/hyperlink" Target="https://www.youtube.com/watch?v=X8DnpBl7Hwk" TargetMode="External"/><Relationship Id="rId184" Type="http://schemas.openxmlformats.org/officeDocument/2006/relationships/hyperlink" Target="https://www.youtube.com/watch?v=XUkb6H9ddiQ" TargetMode="External"/><Relationship Id="rId189" Type="http://schemas.openxmlformats.org/officeDocument/2006/relationships/hyperlink" Target="https://www.youtube.com/watch?v=uODWo4YqbT8" TargetMode="External"/><Relationship Id="rId188" Type="http://schemas.openxmlformats.org/officeDocument/2006/relationships/hyperlink" Target="https://www.youtube.com/watch?v=YpKz7GDOgXg" TargetMode="External"/><Relationship Id="rId183" Type="http://schemas.openxmlformats.org/officeDocument/2006/relationships/hyperlink" Target="https://www.youtube.com/watch?v=OOi3tmzUzJo" TargetMode="External"/><Relationship Id="rId182" Type="http://schemas.openxmlformats.org/officeDocument/2006/relationships/hyperlink" Target="https://www.youtube.com/watch?v=T2ZIdwvsq1w" TargetMode="External"/><Relationship Id="rId181" Type="http://schemas.openxmlformats.org/officeDocument/2006/relationships/hyperlink" Target="https://www.youtube.com/shorts/0cT6ug3WVn4" TargetMode="External"/><Relationship Id="rId180" Type="http://schemas.openxmlformats.org/officeDocument/2006/relationships/hyperlink" Target="https://www.youtube.com/watch?v=aSJbKnDRIiQ&amp;pp=ygUhQm9keSBXZWlnaHQgQnVsZ2FyaWFuIFNwbGl0LVNxdWF0" TargetMode="External"/><Relationship Id="rId176" Type="http://schemas.openxmlformats.org/officeDocument/2006/relationships/hyperlink" Target="https://www.youtube.com/watch?v=wiFNA3sqjCA" TargetMode="External"/><Relationship Id="rId175" Type="http://schemas.openxmlformats.org/officeDocument/2006/relationships/hyperlink" Target="https://www.youtube.com/watch?v=1we3bh9uhqY" TargetMode="External"/><Relationship Id="rId174" Type="http://schemas.openxmlformats.org/officeDocument/2006/relationships/hyperlink" Target="https://www.youtube.com/watch?v=ykJmrZ5v0Oo" TargetMode="External"/><Relationship Id="rId173" Type="http://schemas.openxmlformats.org/officeDocument/2006/relationships/hyperlink" Target="https://www.youtube.com/watch?v=knB5Q4FN4ck" TargetMode="External"/><Relationship Id="rId179" Type="http://schemas.openxmlformats.org/officeDocument/2006/relationships/hyperlink" Target="https://www.youtube.com/watch?v=0326dy_-CzM" TargetMode="External"/><Relationship Id="rId178" Type="http://schemas.openxmlformats.org/officeDocument/2006/relationships/hyperlink" Target="https://www.youtube.com/watch?v=H8Swl1N-uis" TargetMode="External"/><Relationship Id="rId177" Type="http://schemas.openxmlformats.org/officeDocument/2006/relationships/hyperlink" Target="https://www.youtube.com/watch?v=z6LRile4YiE" TargetMode="External"/><Relationship Id="rId198" Type="http://schemas.openxmlformats.org/officeDocument/2006/relationships/hyperlink" Target="https://www.youtube.com/watch?v=70vh8vN40c4&amp;pp=ygUXQm9keXdlaWdodCBTcXVhdCB0byBCb3g%3D" TargetMode="External"/><Relationship Id="rId197" Type="http://schemas.openxmlformats.org/officeDocument/2006/relationships/hyperlink" Target="https://www.youtube.com/watch?v=fysU2ldlXSY&amp;pp=ygUXQm9keXdlaWdodCBTcXVhdCBUaHJ1c3Q%3D" TargetMode="External"/><Relationship Id="rId196" Type="http://schemas.openxmlformats.org/officeDocument/2006/relationships/hyperlink" Target="https://www.youtube.com/watch?v=vvZHaPGOIWU&amp;pp=ygUXQm9keXdlaWdodCBTcGxpdCBTcXVhdHM%3D" TargetMode="External"/><Relationship Id="rId195" Type="http://schemas.openxmlformats.org/officeDocument/2006/relationships/hyperlink" Target="https://www.youtube.com/watch?v=v7vqOK3VFvI&amp;pp=ygUVQm9keXdlaWdodCBTaWRlIFN0ZXBz" TargetMode="External"/><Relationship Id="rId199" Type="http://schemas.openxmlformats.org/officeDocument/2006/relationships/hyperlink" Target="https://www.youtube.com/watch?v=1jzIPebeINM&amp;pp=ygUSQm9keXdlaWdodCBTdGVwLVVw" TargetMode="External"/><Relationship Id="rId150" Type="http://schemas.openxmlformats.org/officeDocument/2006/relationships/hyperlink" Target="https://www.youtube.com/watch?v=ydyqe7RzTkA" TargetMode="External"/><Relationship Id="rId392" Type="http://schemas.openxmlformats.org/officeDocument/2006/relationships/hyperlink" Target="https://www.youtube.com/watch?v=PX-8ExAl13k&amp;pp=ygUORkhMIENhbGYgUmFpc2U%3D" TargetMode="External"/><Relationship Id="rId391" Type="http://schemas.openxmlformats.org/officeDocument/2006/relationships/hyperlink" Target="https://www.youtube.com/watch?v=yvBlNJCvTOI&amp;pp=ygUURmVldC1FbGV2YXRlZCBQdXNodXA%3D" TargetMode="External"/><Relationship Id="rId390" Type="http://schemas.openxmlformats.org/officeDocument/2006/relationships/hyperlink" Target="https://www.youtube.com/watch?v=joAjlFPXfkM&amp;pp=ygUiRmVldC1FbGV2YXRlZCBCYW5kLVJlc2lzdGVkIFB1c2h1cA%3D%3D" TargetMode="External"/><Relationship Id="rId1" Type="http://schemas.openxmlformats.org/officeDocument/2006/relationships/hyperlink" Target="https://www.youtube.com/watch?v=1vDicD_tr9M" TargetMode="External"/><Relationship Id="rId2" Type="http://schemas.openxmlformats.org/officeDocument/2006/relationships/hyperlink" Target="https://www.youtube.com/watch?v=9ZCoAbI7uX0" TargetMode="External"/><Relationship Id="rId3" Type="http://schemas.openxmlformats.org/officeDocument/2006/relationships/hyperlink" Target="https://www.youtube.com/watch?v=hS82gl2Ea8g" TargetMode="External"/><Relationship Id="rId149" Type="http://schemas.openxmlformats.org/officeDocument/2006/relationships/hyperlink" Target="https://www.youtube.com/watch?v=eqEjbNIh8F4" TargetMode="External"/><Relationship Id="rId4" Type="http://schemas.openxmlformats.org/officeDocument/2006/relationships/hyperlink" Target="https://www.youtube.com/watch?v=fiFvoKrHxng" TargetMode="External"/><Relationship Id="rId148" Type="http://schemas.openxmlformats.org/officeDocument/2006/relationships/hyperlink" Target="https://www.youtube.com/watch?v=ASThkQl4fWghttps://www.youtube.com/watch?v=ASThkQl4fWg" TargetMode="External"/><Relationship Id="rId1090" Type="http://schemas.openxmlformats.org/officeDocument/2006/relationships/hyperlink" Target="https://youtu.be/e6XnIBPfGAw" TargetMode="External"/><Relationship Id="rId1091" Type="http://schemas.openxmlformats.org/officeDocument/2006/relationships/hyperlink" Target="https://youtu.be/SP6DoszGLQo" TargetMode="External"/><Relationship Id="rId1092" Type="http://schemas.openxmlformats.org/officeDocument/2006/relationships/hyperlink" Target="https://youtu.be/kNcl67PdCUA" TargetMode="External"/><Relationship Id="rId1093" Type="http://schemas.openxmlformats.org/officeDocument/2006/relationships/hyperlink" Target="https://youtu.be/_HVYT2nuZiw" TargetMode="External"/><Relationship Id="rId1094" Type="http://schemas.openxmlformats.org/officeDocument/2006/relationships/hyperlink" Target="https://youtu.be/wWoh6U4GM9E" TargetMode="External"/><Relationship Id="rId9" Type="http://schemas.openxmlformats.org/officeDocument/2006/relationships/hyperlink" Target="https://www.youtube.com/watch?v=-mLAtXQLiTE" TargetMode="External"/><Relationship Id="rId143" Type="http://schemas.openxmlformats.org/officeDocument/2006/relationships/hyperlink" Target="https://www.youtube.com/watch?v=jnfveKq1i3E" TargetMode="External"/><Relationship Id="rId385" Type="http://schemas.openxmlformats.org/officeDocument/2006/relationships/hyperlink" Target="https://www.youtube.com/watch?v=-AruuHWQZZQ&amp;pp=ygUmRXh0ZXJuYWwgSGlwIFJvdGF0aW9uIHRvIExhdGVyYWwgTHVuZ2U%3D" TargetMode="External"/><Relationship Id="rId1095" Type="http://schemas.openxmlformats.org/officeDocument/2006/relationships/hyperlink" Target="https://youtube.com/shorts/r_tbgEXCjbg?feature=share" TargetMode="External"/><Relationship Id="rId142" Type="http://schemas.openxmlformats.org/officeDocument/2006/relationships/hyperlink" Target="https://www.youtube.com/watch?v=r0DBxI9XiNM" TargetMode="External"/><Relationship Id="rId384" Type="http://schemas.openxmlformats.org/officeDocument/2006/relationships/hyperlink" Target="https://www.youtube.com/watch?v=CvgV8W98inA&amp;pp=ygUQRXhwbG9zaXZlIFB1c2h1cA%3D%3D" TargetMode="External"/><Relationship Id="rId1096" Type="http://schemas.openxmlformats.org/officeDocument/2006/relationships/hyperlink" Target="https://youtu.be/y30uEJhBTwQ" TargetMode="External"/><Relationship Id="rId141" Type="http://schemas.openxmlformats.org/officeDocument/2006/relationships/hyperlink" Target="https://www.youtube.com/watch?v=vRn2-mX6wjI" TargetMode="External"/><Relationship Id="rId383" Type="http://schemas.openxmlformats.org/officeDocument/2006/relationships/hyperlink" Target="https://www.youtube.com/watch?v=PPrzBWZDOhA&amp;pp=ygUdRW5kIFJhbmdlIENhYmxlIExhdGVyYWwgUmFpc2U%3D" TargetMode="External"/><Relationship Id="rId1097" Type="http://schemas.openxmlformats.org/officeDocument/2006/relationships/hyperlink" Target="https://youtu.be/jZTU2bkEFCQ" TargetMode="External"/><Relationship Id="rId140" Type="http://schemas.openxmlformats.org/officeDocument/2006/relationships/hyperlink" Target="https://www.youtube.com/watch?v=vJ8x0Oz06gw" TargetMode="External"/><Relationship Id="rId382" Type="http://schemas.openxmlformats.org/officeDocument/2006/relationships/hyperlink" Target="https://www.youtube.com/watch?v=3Ch7uK-0j9c&amp;pp=ygUORWxldmF0ZWQgUkRMJ3M%3D" TargetMode="External"/><Relationship Id="rId1098" Type="http://schemas.openxmlformats.org/officeDocument/2006/relationships/hyperlink" Target="https://youtu.be/P3u4PizaORA" TargetMode="External"/><Relationship Id="rId5" Type="http://schemas.openxmlformats.org/officeDocument/2006/relationships/hyperlink" Target="https://www.youtube.com/watch?v=ZiupDCper-M" TargetMode="External"/><Relationship Id="rId147" Type="http://schemas.openxmlformats.org/officeDocument/2006/relationships/hyperlink" Target="https://www.youtube.com/watch?v=R0s1lxjh2OM" TargetMode="External"/><Relationship Id="rId389" Type="http://schemas.openxmlformats.org/officeDocument/2006/relationships/hyperlink" Target="https://www.youtube.com/watch?v=5vQAMgBJIVk&amp;pp=ygUURmVldCBFbGV2YXRlZCBTaXQgVXA%3D" TargetMode="External"/><Relationship Id="rId1099" Type="http://schemas.openxmlformats.org/officeDocument/2006/relationships/hyperlink" Target="https://youtu.be/mmb618X9Ieg" TargetMode="External"/><Relationship Id="rId6" Type="http://schemas.openxmlformats.org/officeDocument/2006/relationships/hyperlink" Target="https://www.youtube.com/watch?v=p8A3oaWhU6U" TargetMode="External"/><Relationship Id="rId146" Type="http://schemas.openxmlformats.org/officeDocument/2006/relationships/hyperlink" Target="https://www.youtube.com/watch?v=Ee1BQNI6zN4" TargetMode="External"/><Relationship Id="rId388" Type="http://schemas.openxmlformats.org/officeDocument/2006/relationships/hyperlink" Target="https://www.youtube.com/watch?v=z7E_YU9P1jU&amp;pp=ygUOIEZhcm1lcnMgQ2Fycnk%3D" TargetMode="External"/><Relationship Id="rId7" Type="http://schemas.openxmlformats.org/officeDocument/2006/relationships/hyperlink" Target="https://www.youtube.com/watch?v=iixND1P2lik" TargetMode="External"/><Relationship Id="rId145" Type="http://schemas.openxmlformats.org/officeDocument/2006/relationships/hyperlink" Target="https://www.youtube.com/watch?v=658VcTBuovQ" TargetMode="External"/><Relationship Id="rId387" Type="http://schemas.openxmlformats.org/officeDocument/2006/relationships/hyperlink" Target="https://www.youtube.com/watch?v=V8dZ3pyiCBo&amp;pp=ygUKRmFjZSBQdWxscw%3D%3D" TargetMode="External"/><Relationship Id="rId8" Type="http://schemas.openxmlformats.org/officeDocument/2006/relationships/hyperlink" Target="https://www.youtube.com/watch?v=e3hCZpHeEZ4" TargetMode="External"/><Relationship Id="rId144" Type="http://schemas.openxmlformats.org/officeDocument/2006/relationships/hyperlink" Target="https://www.youtube.com/watch?v=0fHdnBH9Gdo" TargetMode="External"/><Relationship Id="rId386" Type="http://schemas.openxmlformats.org/officeDocument/2006/relationships/hyperlink" Target="https://www.youtube.com/watch?v=kwG2ipFRgfo&amp;pp=ygUSRVogQmFyIEJpY2VwIEN1cmxz" TargetMode="External"/><Relationship Id="rId381" Type="http://schemas.openxmlformats.org/officeDocument/2006/relationships/hyperlink" Target="https://www.youtube.com/watch?v=3Ch7uK-0j9c&amp;pp=ygUORWxldmF0ZWQgUkRMJ3M%3D" TargetMode="External"/><Relationship Id="rId380" Type="http://schemas.openxmlformats.org/officeDocument/2006/relationships/hyperlink" Target="https://www.youtube.com/watch?v=QJCbrhH5Exo&amp;pp=ygUSRWxldmF0ZWQgUGxhbmsgUm93" TargetMode="External"/><Relationship Id="rId139" Type="http://schemas.openxmlformats.org/officeDocument/2006/relationships/hyperlink" Target="https://www.youtube.com/watch?v=Kg0N3nie2Xc" TargetMode="External"/><Relationship Id="rId138" Type="http://schemas.openxmlformats.org/officeDocument/2006/relationships/hyperlink" Target="https://www.youtube.com/watch?v=IZX5bS5rPkk" TargetMode="External"/><Relationship Id="rId137" Type="http://schemas.openxmlformats.org/officeDocument/2006/relationships/hyperlink" Target="https://www.youtube.com/watch?v=8c23NBbwLBc" TargetMode="External"/><Relationship Id="rId379" Type="http://schemas.openxmlformats.org/officeDocument/2006/relationships/hyperlink" Target="https://www.youtube.com/watch?v=eP1T4JeQtOQ&amp;pp=ygURRWxib3cgUGxhbmsgSmFja3M%3D" TargetMode="External"/><Relationship Id="rId1080" Type="http://schemas.openxmlformats.org/officeDocument/2006/relationships/hyperlink" Target="https://youtu.be/yPis7nlbqdY" TargetMode="External"/><Relationship Id="rId1081" Type="http://schemas.openxmlformats.org/officeDocument/2006/relationships/hyperlink" Target="https://youtu.be/uMWob72Y-EY" TargetMode="External"/><Relationship Id="rId1082" Type="http://schemas.openxmlformats.org/officeDocument/2006/relationships/hyperlink" Target="https://youtu.be/mUNXh5oFKKY" TargetMode="External"/><Relationship Id="rId1083" Type="http://schemas.openxmlformats.org/officeDocument/2006/relationships/hyperlink" Target="https://youtu.be/KDEl3AmZbVE" TargetMode="External"/><Relationship Id="rId132" Type="http://schemas.openxmlformats.org/officeDocument/2006/relationships/hyperlink" Target="https://www.youtube.com/watch?v=2yjwXTZQDDI" TargetMode="External"/><Relationship Id="rId374" Type="http://schemas.openxmlformats.org/officeDocument/2006/relationships/hyperlink" Target="https://www.youtube.com/watch?v=3ml7BH7mNwQ&amp;pp=ygUVRHVtYmJlbGwgQXJub2xkIFByZXNz" TargetMode="External"/><Relationship Id="rId1084" Type="http://schemas.openxmlformats.org/officeDocument/2006/relationships/hyperlink" Target="https://youtu.be/vKaLCCNxMho" TargetMode="External"/><Relationship Id="rId131" Type="http://schemas.openxmlformats.org/officeDocument/2006/relationships/hyperlink" Target="https://www.youtube.com/watch?v=2yjwXTZQDDI" TargetMode="External"/><Relationship Id="rId373" Type="http://schemas.openxmlformats.org/officeDocument/2006/relationships/hyperlink" Target="https://www.youtube.com/watch?v=sAq_ocpRh_I&amp;pp=ygUeRHVtYmJlbGwgQWx0ZXJuYXRlIEJpY2VwcyBDdXJs" TargetMode="External"/><Relationship Id="rId1085" Type="http://schemas.openxmlformats.org/officeDocument/2006/relationships/hyperlink" Target="https://youtu.be/JDgXqqviyu4" TargetMode="External"/><Relationship Id="rId130" Type="http://schemas.openxmlformats.org/officeDocument/2006/relationships/hyperlink" Target="https://www.youtube.com/watch?v=ci4rsmlOk24" TargetMode="External"/><Relationship Id="rId372" Type="http://schemas.openxmlformats.org/officeDocument/2006/relationships/hyperlink" Target="https://www.youtube.com/watch?v=q1MeZPov8eM&amp;pp=ygURRHVtYmJlbGwgQWIgVHdpc3Q%3D" TargetMode="External"/><Relationship Id="rId1086" Type="http://schemas.openxmlformats.org/officeDocument/2006/relationships/hyperlink" Target="https://youtu.be/faAQrJcDkms" TargetMode="External"/><Relationship Id="rId371" Type="http://schemas.openxmlformats.org/officeDocument/2006/relationships/hyperlink" Target="https://www.youtube.com/watch?v=dbMvGAbdKkI&amp;pp=ygUZRHVtYmJlbGwgMSAxLzQgRnVsbCBTcXVhdA%3D%3D" TargetMode="External"/><Relationship Id="rId1087" Type="http://schemas.openxmlformats.org/officeDocument/2006/relationships/hyperlink" Target="https://youtu.be/fNx2sexcgbI" TargetMode="External"/><Relationship Id="rId136" Type="http://schemas.openxmlformats.org/officeDocument/2006/relationships/hyperlink" Target="https://www.youtube.com/watch?v=7gRCzkbCT24" TargetMode="External"/><Relationship Id="rId378" Type="http://schemas.openxmlformats.org/officeDocument/2006/relationships/hyperlink" Target="https://www.youtube.com/watch?v=zD0pIEs0AYo&amp;pp=ygUTRWxib3cgUGxhbmsgQm9keXNhdw%3D%3D" TargetMode="External"/><Relationship Id="rId1088" Type="http://schemas.openxmlformats.org/officeDocument/2006/relationships/hyperlink" Target="https://youtu.be/VOJjWXJrOrM" TargetMode="External"/><Relationship Id="rId135" Type="http://schemas.openxmlformats.org/officeDocument/2006/relationships/hyperlink" Target="https://www.youtube.com/watch?v=q3mVYFBaLq4" TargetMode="External"/><Relationship Id="rId377" Type="http://schemas.openxmlformats.org/officeDocument/2006/relationships/hyperlink" Target="https://www.youtube.com/watch?v=cK-OUgfhgak&amp;pp=ygURRWNjZW50cmljIFB1c2gtVXA%3D" TargetMode="External"/><Relationship Id="rId1089" Type="http://schemas.openxmlformats.org/officeDocument/2006/relationships/hyperlink" Target="https://youtu.be/qVqEkYRFPbo" TargetMode="External"/><Relationship Id="rId134" Type="http://schemas.openxmlformats.org/officeDocument/2006/relationships/hyperlink" Target="https://www.youtube.com/watch?v=q3mVYFBaLq4" TargetMode="External"/><Relationship Id="rId376" Type="http://schemas.openxmlformats.org/officeDocument/2006/relationships/hyperlink" Target="https://www.youtube.com/watch?v=hvhQXzJ4vhM&amp;pp=ygURRWNjZW50cmljIFB1bGwtVXA%3D" TargetMode="External"/><Relationship Id="rId133" Type="http://schemas.openxmlformats.org/officeDocument/2006/relationships/hyperlink" Target="https://www.youtube.com/watch?v=860722r7v2E" TargetMode="External"/><Relationship Id="rId375" Type="http://schemas.openxmlformats.org/officeDocument/2006/relationships/hyperlink" Target="https://www.youtube.com/watch?v=dJXAuZ5oIVQ&amp;pp=ygURRWNjZW50cmljIENoaW4gVXA%3D" TargetMode="External"/><Relationship Id="rId172" Type="http://schemas.openxmlformats.org/officeDocument/2006/relationships/hyperlink" Target="https://www.youtube.com/watch?v=zg_xPBbmXiw" TargetMode="External"/><Relationship Id="rId171" Type="http://schemas.openxmlformats.org/officeDocument/2006/relationships/hyperlink" Target="https://www.youtube.com/watch?v=f0lBxfbZO3c" TargetMode="External"/><Relationship Id="rId170" Type="http://schemas.openxmlformats.org/officeDocument/2006/relationships/hyperlink" Target="https://www.youtube.com/watch?v=yQ3Q-lSdR6o" TargetMode="External"/><Relationship Id="rId165" Type="http://schemas.openxmlformats.org/officeDocument/2006/relationships/hyperlink" Target="https://www.youtube.com/watch?v=2S9juCSwxWw" TargetMode="External"/><Relationship Id="rId164" Type="http://schemas.openxmlformats.org/officeDocument/2006/relationships/hyperlink" Target="https://www.youtube.com/watch?v=CU3AZYX0u2Q" TargetMode="External"/><Relationship Id="rId163" Type="http://schemas.openxmlformats.org/officeDocument/2006/relationships/hyperlink" Target="https://www.youtube.com/watch?v=GV-5bHCEKEc" TargetMode="External"/><Relationship Id="rId162" Type="http://schemas.openxmlformats.org/officeDocument/2006/relationships/hyperlink" Target="https://www.youtube.com/watch?v=gQvdAcH1j9Q" TargetMode="External"/><Relationship Id="rId169" Type="http://schemas.openxmlformats.org/officeDocument/2006/relationships/hyperlink" Target="https://www.youtube.com/watch?v=pq4ars8_E3Q" TargetMode="External"/><Relationship Id="rId168" Type="http://schemas.openxmlformats.org/officeDocument/2006/relationships/hyperlink" Target="https://www.youtube.com/watch?v=gQvdAcH1j9Q" TargetMode="External"/><Relationship Id="rId167" Type="http://schemas.openxmlformats.org/officeDocument/2006/relationships/hyperlink" Target="https://www.youtube.com/watch?v=YVQaCafbGOo" TargetMode="External"/><Relationship Id="rId166" Type="http://schemas.openxmlformats.org/officeDocument/2006/relationships/hyperlink" Target="https://www.youtube.com/watch?v=YVQaCafbGOo" TargetMode="External"/><Relationship Id="rId161" Type="http://schemas.openxmlformats.org/officeDocument/2006/relationships/hyperlink" Target="https://www.youtube.com/watch?v=Nqh7q3zDCoQ" TargetMode="External"/><Relationship Id="rId160" Type="http://schemas.openxmlformats.org/officeDocument/2006/relationships/hyperlink" Target="https://www.youtube.com/watch?v=UKjQMYiQnS0" TargetMode="External"/><Relationship Id="rId159" Type="http://schemas.openxmlformats.org/officeDocument/2006/relationships/hyperlink" Target="https://www.youtube.com/watch?v=nfWQihJo-Mc" TargetMode="External"/><Relationship Id="rId154" Type="http://schemas.openxmlformats.org/officeDocument/2006/relationships/hyperlink" Target="https://www.youtube.com/watch?v=PMW9R3uZyxw" TargetMode="External"/><Relationship Id="rId396" Type="http://schemas.openxmlformats.org/officeDocument/2006/relationships/hyperlink" Target="https://www.youtube.com/watch?v=Xb5gHdYtHnk&amp;pp=ygUQRmlndXJlIDQgSGlwIFVwcw%3D%3D" TargetMode="External"/><Relationship Id="rId153" Type="http://schemas.openxmlformats.org/officeDocument/2006/relationships/hyperlink" Target="https://www.youtube.com/watch?v=5MhQS8nU-HU" TargetMode="External"/><Relationship Id="rId395" Type="http://schemas.openxmlformats.org/officeDocument/2006/relationships/hyperlink" Target="https://www.youtube.com/watch?v=Xb5gHdYtHnk&amp;pp=ygUQRmlndXJlIDQgSGlwIFVwcw%3D%3D" TargetMode="External"/><Relationship Id="rId152" Type="http://schemas.openxmlformats.org/officeDocument/2006/relationships/hyperlink" Target="https://www.youtube.com/watch?v=6Fc0u9xPkL8" TargetMode="External"/><Relationship Id="rId394" Type="http://schemas.openxmlformats.org/officeDocument/2006/relationships/hyperlink" Target="https://www.youtube.com/watch?v=yzg6OTbsmcQ&amp;pp=ygUPRmlndXJlIDQgQ3J1bmNo" TargetMode="External"/><Relationship Id="rId151" Type="http://schemas.openxmlformats.org/officeDocument/2006/relationships/hyperlink" Target="https://www.youtube.com/watch?v=9ODXwMo2Dzc" TargetMode="External"/><Relationship Id="rId393" Type="http://schemas.openxmlformats.org/officeDocument/2006/relationships/hyperlink" Target="https://www.youtube.com/watch?v=yzg6OTbsmcQ&amp;pp=ygUeRmlndXJlIDQgQ3Jvc3MgQm9keSBCaWtlIENydW5j" TargetMode="External"/><Relationship Id="rId158" Type="http://schemas.openxmlformats.org/officeDocument/2006/relationships/hyperlink" Target="https://www.youtube.com/watch?v=eP8jUKP9RT8" TargetMode="External"/><Relationship Id="rId157" Type="http://schemas.openxmlformats.org/officeDocument/2006/relationships/hyperlink" Target="https://www.youtube.com/watch?v=zo2pqw794B0" TargetMode="External"/><Relationship Id="rId399" Type="http://schemas.openxmlformats.org/officeDocument/2006/relationships/hyperlink" Target="https://www.youtube.com/watch?v=tdSOoPOqqDQ&amp;pp=ygUaRmlyZSBIeWRyYW50cyB0byBLaWNrIEJhY2s%3D" TargetMode="External"/><Relationship Id="rId156" Type="http://schemas.openxmlformats.org/officeDocument/2006/relationships/hyperlink" Target="https://www.youtube.com/watch?v=QMTsahie_98" TargetMode="External"/><Relationship Id="rId398" Type="http://schemas.openxmlformats.org/officeDocument/2006/relationships/hyperlink" Target="https://www.youtube.com/watch?v=hjMEwbXhya4&amp;pp=ygUNRmlyZSBIeWRyYW50cw%3D%3D" TargetMode="External"/><Relationship Id="rId155" Type="http://schemas.openxmlformats.org/officeDocument/2006/relationships/hyperlink" Target="https://www.youtube.com/watch?v=shT17pjkMaI" TargetMode="External"/><Relationship Id="rId397" Type="http://schemas.openxmlformats.org/officeDocument/2006/relationships/hyperlink" Target="https://www.youtube.com/watch?v=5ZITPjWrUzQ&amp;pp=ygUaRmlyZSBIeWRyYW50IExlZyBFeHRlbnNpb24%3D" TargetMode="External"/><Relationship Id="rId808" Type="http://schemas.openxmlformats.org/officeDocument/2006/relationships/hyperlink" Target="https://www.youtube.com/watch?v=ibyUMvywMTc&amp;pp=ygUPU2lkZSBQbGFuayBEaXBz" TargetMode="External"/><Relationship Id="rId807" Type="http://schemas.openxmlformats.org/officeDocument/2006/relationships/hyperlink" Target="https://www.youtube.com/watch?v=CMJA332bfs0&amp;pp=ygURU2lkZSBQbGFuayBDcnVuY2g%3D" TargetMode="External"/><Relationship Id="rId806" Type="http://schemas.openxmlformats.org/officeDocument/2006/relationships/hyperlink" Target="https://www.youtube.com/watch?v=kiVFaQAyZAE&amp;pp=ygUKU2lkZSBQbGFuaw%3D%3D" TargetMode="External"/><Relationship Id="rId805" Type="http://schemas.openxmlformats.org/officeDocument/2006/relationships/hyperlink" Target="https://www.youtube.com/watch?v=rvqLVxYqEvo&amp;pp=ygUKU2lkZSBMdW5nZQ%3D%3D" TargetMode="External"/><Relationship Id="rId809" Type="http://schemas.openxmlformats.org/officeDocument/2006/relationships/hyperlink" Target="https://www.youtube.com/watch?v=edTXNT-etYc&amp;pp=ygUTU2lkZSBQbGFuayBMZWcgTGlmdA%3D%3D" TargetMode="External"/><Relationship Id="rId800" Type="http://schemas.openxmlformats.org/officeDocument/2006/relationships/hyperlink" Target="https://www.youtube.com/watch?v=ICz5ePml9zk&amp;pp=ygURU2hvdWxkZXIgRmxvc3Npbmc%3D" TargetMode="External"/><Relationship Id="rId804" Type="http://schemas.openxmlformats.org/officeDocument/2006/relationships/hyperlink" Target="https://www.youtube.com/watch?v=JEnhFC1AtHw&amp;pp=ygUPU2hvdWxkZXIgU2hydWdz" TargetMode="External"/><Relationship Id="rId803" Type="http://schemas.openxmlformats.org/officeDocument/2006/relationships/hyperlink" Target="https://www.youtube.com/shorts/CkvTfKB-gfs" TargetMode="External"/><Relationship Id="rId802" Type="http://schemas.openxmlformats.org/officeDocument/2006/relationships/hyperlink" Target="https://www.youtube.com/watch?v=SfxyICleU4I&amp;pp=ygUiU2hvdWxkZXIgTW9iaWxpdHkgYW5kIENoZXN0IE9wZW5lcg%3D%3D" TargetMode="External"/><Relationship Id="rId801" Type="http://schemas.openxmlformats.org/officeDocument/2006/relationships/hyperlink" Target="https://www.youtube.com/watch?v=-CpadtmFgNw&amp;pp=ygUOU2hvdWxkZXIgSmFja3M%3D" TargetMode="External"/><Relationship Id="rId40" Type="http://schemas.openxmlformats.org/officeDocument/2006/relationships/hyperlink" Target="https://www.youtube.com/watch?v=pKjbIyQmHiU" TargetMode="External"/><Relationship Id="rId42" Type="http://schemas.openxmlformats.org/officeDocument/2006/relationships/hyperlink" Target="https://www.youtube.com/watch?v=A-uiFTIsgRg" TargetMode="External"/><Relationship Id="rId41" Type="http://schemas.openxmlformats.org/officeDocument/2006/relationships/hyperlink" Target="https://www.youtube.com/watch?v=rznRMNKJTUQ" TargetMode="External"/><Relationship Id="rId44" Type="http://schemas.openxmlformats.org/officeDocument/2006/relationships/hyperlink" Target="https://www.youtube.com/watch?v=K4VQ2WE3R-U" TargetMode="External"/><Relationship Id="rId43" Type="http://schemas.openxmlformats.org/officeDocument/2006/relationships/hyperlink" Target="https://www.youtube.com/watch?v=Saq-JVbRZx0" TargetMode="External"/><Relationship Id="rId46" Type="http://schemas.openxmlformats.org/officeDocument/2006/relationships/hyperlink" Target="https://www.youtube.com/watch?v=auPG8gUWiFw" TargetMode="External"/><Relationship Id="rId45" Type="http://schemas.openxmlformats.org/officeDocument/2006/relationships/hyperlink" Target="https://www.youtube.com/watch?v=W3sp_uGF9XA" TargetMode="External"/><Relationship Id="rId509" Type="http://schemas.openxmlformats.org/officeDocument/2006/relationships/hyperlink" Target="https://www.youtube.com/watch?v=em4gADvYvMA&amp;pp=ygUISGlwIERpcHM%3D" TargetMode="External"/><Relationship Id="rId508" Type="http://schemas.openxmlformats.org/officeDocument/2006/relationships/hyperlink" Target="https://www.youtube.com/watch?v=wz1GbxKLkKg&amp;pp=ygUISGlwIENBUlM%3D" TargetMode="External"/><Relationship Id="rId503" Type="http://schemas.openxmlformats.org/officeDocument/2006/relationships/hyperlink" Target="https://www.youtube.com/watch?v=UJC-T11TsQU&amp;pp=ygUcSGlnaCBLbmVlcyBIYW5kcyBCZWhpbmQgSGVhZA%3D%3D" TargetMode="External"/><Relationship Id="rId745" Type="http://schemas.openxmlformats.org/officeDocument/2006/relationships/hyperlink" Target="https://www.youtube.com/watch?v=bnu5b61vqGQ&amp;pp=ygUSUmV2ZXJzZSBQbGFuayBIb2xk" TargetMode="External"/><Relationship Id="rId987" Type="http://schemas.openxmlformats.org/officeDocument/2006/relationships/hyperlink" Target="https://youtu.be/5Ho5qnjksYo" TargetMode="External"/><Relationship Id="rId502" Type="http://schemas.openxmlformats.org/officeDocument/2006/relationships/hyperlink" Target="https://www.youtube.com/watch?v=DfjpR6dzLVg&amp;pp=ygUKSGlnaCBLbmVlcw%3D%3D" TargetMode="External"/><Relationship Id="rId744" Type="http://schemas.openxmlformats.org/officeDocument/2006/relationships/hyperlink" Target="https://www.youtube.com/watch?v=bnu5b61vqGQ&amp;pp=ygUSUmV2ZXJzZSBQbGFuayBIb2xk" TargetMode="External"/><Relationship Id="rId986" Type="http://schemas.openxmlformats.org/officeDocument/2006/relationships/hyperlink" Target="https://youtu.be/FCmQN5bj7dY" TargetMode="External"/><Relationship Id="rId501" Type="http://schemas.openxmlformats.org/officeDocument/2006/relationships/hyperlink" Target="https://www.youtube.com/shorts/TDgeiFy7_ws" TargetMode="External"/><Relationship Id="rId743" Type="http://schemas.openxmlformats.org/officeDocument/2006/relationships/hyperlink" Target="https://www.youtube.com/watch?v=uUEKLhpJd1Q&amp;pp=ygUSUmV2ZXJzZSBQbGFuayBIb2xk" TargetMode="External"/><Relationship Id="rId985" Type="http://schemas.openxmlformats.org/officeDocument/2006/relationships/hyperlink" Target="https://youtu.be/5Ho5qnjksYo" TargetMode="External"/><Relationship Id="rId500" Type="http://schemas.openxmlformats.org/officeDocument/2006/relationships/hyperlink" Target="https://www.youtube.com/watch?v=0Gef7oq3cv4&amp;pp=ygUVSGlnaCBDYWJsZSBCaWNlcCBDdXJs" TargetMode="External"/><Relationship Id="rId742" Type="http://schemas.openxmlformats.org/officeDocument/2006/relationships/hyperlink" Target="https://www.youtube.com/watch?v=FDaAi-dCTz8&amp;pp=ygUsUmV2ZXJzZSBQYXR0ZXJuIFNpbmdsZS1MZWcgUm9tYW5pYW4gRGVhZGxpZnQ%3D" TargetMode="External"/><Relationship Id="rId984" Type="http://schemas.openxmlformats.org/officeDocument/2006/relationships/hyperlink" Target="https://youtu.be/40GsrBtU_oI" TargetMode="External"/><Relationship Id="rId507" Type="http://schemas.openxmlformats.org/officeDocument/2006/relationships/hyperlink" Target="https://www.youtube.com/watch?v=CP4LjhZ_Wq0&amp;pp=ygUOSGlwIEFiZHVjdGlvbnM%3D" TargetMode="External"/><Relationship Id="rId749" Type="http://schemas.openxmlformats.org/officeDocument/2006/relationships/hyperlink" Target="https://www.youtube.com/watch?v=BcaaobXxRbM&amp;pp=ygUKUmluZyBQbGFuaw%3D%3D" TargetMode="External"/><Relationship Id="rId506" Type="http://schemas.openxmlformats.org/officeDocument/2006/relationships/hyperlink" Target="https://www.youtube.com/watch?v=_5tJG8iNpkA&amp;pp=ygUJSGlnaCBQdWxs" TargetMode="External"/><Relationship Id="rId748" Type="http://schemas.openxmlformats.org/officeDocument/2006/relationships/hyperlink" Target="https://www.youtube.com/watch?v=UiDZEg2y1bc&amp;pp=ygUZUmV2ZXJzZSBUcmljZXBzIEV4dGVuc2lvbg%3D%3D" TargetMode="External"/><Relationship Id="rId505" Type="http://schemas.openxmlformats.org/officeDocument/2006/relationships/hyperlink" Target="https://www.youtube.com/watch?v=J8QhVr5Pvig&amp;pp=ygUaSGlnaCBQbGFuayB0byBEb3dud2FyZCBEb2c%3D" TargetMode="External"/><Relationship Id="rId747" Type="http://schemas.openxmlformats.org/officeDocument/2006/relationships/hyperlink" Target="https://www.youtube.com/shorts/F5z-XQ5Hhm8" TargetMode="External"/><Relationship Id="rId989" Type="http://schemas.openxmlformats.org/officeDocument/2006/relationships/hyperlink" Target="https://youtu.be/N4fzbBv4BFI" TargetMode="External"/><Relationship Id="rId504" Type="http://schemas.openxmlformats.org/officeDocument/2006/relationships/hyperlink" Target="https://www.youtube.com/shorts/OpjDCHAUpaA" TargetMode="External"/><Relationship Id="rId746" Type="http://schemas.openxmlformats.org/officeDocument/2006/relationships/hyperlink" Target="https://www.youtube.com/watch?v=7PV_bGLFlfY&amp;pp=ygUPUmV2ZXJzZSBTdGVwIFVw" TargetMode="External"/><Relationship Id="rId988" Type="http://schemas.openxmlformats.org/officeDocument/2006/relationships/hyperlink" Target="https://youtu.be/A-cFYWvaHr0" TargetMode="External"/><Relationship Id="rId48" Type="http://schemas.openxmlformats.org/officeDocument/2006/relationships/hyperlink" Target="https://www.youtube.com/watch?v=kPfMkZc_Chg" TargetMode="External"/><Relationship Id="rId47" Type="http://schemas.openxmlformats.org/officeDocument/2006/relationships/hyperlink" Target="https://www.youtube.com/watch?v=cOFwFzzLFWw" TargetMode="External"/><Relationship Id="rId49" Type="http://schemas.openxmlformats.org/officeDocument/2006/relationships/hyperlink" Target="https://www.youtube.com/watch?v=jz47v0Uj1cY" TargetMode="External"/><Relationship Id="rId741" Type="http://schemas.openxmlformats.org/officeDocument/2006/relationships/hyperlink" Target="https://www.youtube.com/watch?v=x2K8uH7dcqg&amp;pp=ygUOUmV2ZXJzZSBOb3JkaWM%3D" TargetMode="External"/><Relationship Id="rId983" Type="http://schemas.openxmlformats.org/officeDocument/2006/relationships/hyperlink" Target="https://youtu.be/QqvTW0pzLFw" TargetMode="External"/><Relationship Id="rId740" Type="http://schemas.openxmlformats.org/officeDocument/2006/relationships/hyperlink" Target="https://www.youtube.com/watch?v=lKkdBpK2fzU&amp;pp=ygUgUmV2ZXJzZSBMdW5nZSB0byBTaW5nbGUtTGVnIFNraXA%3D" TargetMode="External"/><Relationship Id="rId982" Type="http://schemas.openxmlformats.org/officeDocument/2006/relationships/hyperlink" Target="https://youtu.be/1-8Ow8vZhm4" TargetMode="External"/><Relationship Id="rId981" Type="http://schemas.openxmlformats.org/officeDocument/2006/relationships/hyperlink" Target="https://youtu.be/RunvqFmuSuQ" TargetMode="External"/><Relationship Id="rId980" Type="http://schemas.openxmlformats.org/officeDocument/2006/relationships/hyperlink" Target="https://youtu.be/swPMrVWhplk" TargetMode="External"/><Relationship Id="rId31" Type="http://schemas.openxmlformats.org/officeDocument/2006/relationships/hyperlink" Target="https://www.youtube.com/watch?v=ultWZbUMPL8&amp;pp=ygUKQmFjayBTcXVhdA%3D%3D" TargetMode="External"/><Relationship Id="rId30" Type="http://schemas.openxmlformats.org/officeDocument/2006/relationships/hyperlink" Target="https://www.youtube.com/watch?v=rkpvx4DuJJI&amp;pp=ygUYQmFjayBMdW5nZSBpbnRvIEtpY2tiYWNr" TargetMode="External"/><Relationship Id="rId33" Type="http://schemas.openxmlformats.org/officeDocument/2006/relationships/hyperlink" Target="https://www.youtube.com/watch?v=zWTQ9UPsmf4&amp;pp=ygUXQmFja3dhcmQgV2Fsa2luZyB1cGhpbGw%3D" TargetMode="External"/><Relationship Id="rId32" Type="http://schemas.openxmlformats.org/officeDocument/2006/relationships/hyperlink" Target="https://www.youtube.com/watch?v=FK4rHfWKEac&amp;pp=ygUXQmFjay1TdXBwb3J0ZWQgUHVsbG92ZXI%3D" TargetMode="External"/><Relationship Id="rId35" Type="http://schemas.openxmlformats.org/officeDocument/2006/relationships/hyperlink" Target="https://www.youtube.com/watch?v=GyTTtBAvc4s&amp;pp=ygUTQmFsbCBTcXVhdCB0byBQcmVzcw%3D%3D" TargetMode="External"/><Relationship Id="rId34" Type="http://schemas.openxmlformats.org/officeDocument/2006/relationships/hyperlink" Target="https://www.youtube.com/watch?v=zLDENYTNhHg&amp;pp=ygURQmFsbCBTbGFtIFRvIEp1bXA%3D" TargetMode="External"/><Relationship Id="rId739" Type="http://schemas.openxmlformats.org/officeDocument/2006/relationships/hyperlink" Target="https://www.youtube.com/watch?v=mJT6hPY7gO4&amp;pp=ygUcUmV2ZXJzZSBMdW5nZSBTaG91bGRlciBQcmVzcw%3D%3D" TargetMode="External"/><Relationship Id="rId734" Type="http://schemas.openxmlformats.org/officeDocument/2006/relationships/hyperlink" Target="https://www.youtube.com/watch?v=hyv14e2QDq0&amp;pp=ygUOUmV2ZXJzZSBDcnVuY2g%3D" TargetMode="External"/><Relationship Id="rId976" Type="http://schemas.openxmlformats.org/officeDocument/2006/relationships/hyperlink" Target="https://youtu.be/S4WRgOOR_QQ" TargetMode="External"/><Relationship Id="rId733" Type="http://schemas.openxmlformats.org/officeDocument/2006/relationships/hyperlink" Target="https://www.youtube.com/watch?v=clVj2dQ_GoY&amp;pp=ygUqUmVuZWdhZGUgUm93IFdpdGggUHVzaHVwIGFuZCBGZWV0IEVsZXZhdGVk" TargetMode="External"/><Relationship Id="rId975" Type="http://schemas.openxmlformats.org/officeDocument/2006/relationships/hyperlink" Target="https://youtu.be/ZjzUNteZPd8" TargetMode="External"/><Relationship Id="rId732" Type="http://schemas.openxmlformats.org/officeDocument/2006/relationships/hyperlink" Target="https://www.youtube.com/watch?v=731lQp2shpY&amp;pp=ygUYUmVuZWdhZGUgUm93IFdpdGggUHVzaHVw" TargetMode="External"/><Relationship Id="rId974" Type="http://schemas.openxmlformats.org/officeDocument/2006/relationships/hyperlink" Target="https://youtu.be/avO_qtvHJAg" TargetMode="External"/><Relationship Id="rId731" Type="http://schemas.openxmlformats.org/officeDocument/2006/relationships/hyperlink" Target="https://www.youtube.com/watch?v=G1AcX8Y_byg&amp;pp=ygUMUmVuZWdhZGUgUm93" TargetMode="External"/><Relationship Id="rId973" Type="http://schemas.openxmlformats.org/officeDocument/2006/relationships/hyperlink" Target="https://youtube.com/shorts/3PpzYOubZ5A?feature=share" TargetMode="External"/><Relationship Id="rId738" Type="http://schemas.openxmlformats.org/officeDocument/2006/relationships/hyperlink" Target="https://www.youtube.com/watch?v=GE9gUamCGX8&amp;pp=ygUSUmV2ZXJzZSBMdW5nZSBKdW1w" TargetMode="External"/><Relationship Id="rId737" Type="http://schemas.openxmlformats.org/officeDocument/2006/relationships/hyperlink" Target="https://www.youtube.com/watch?v=NKcPgHedtTg&amp;pp=ygUaUmV2ZXJzZSBMdW5nZSBpbnRvIEtuZWUgdXA%3D" TargetMode="External"/><Relationship Id="rId979" Type="http://schemas.openxmlformats.org/officeDocument/2006/relationships/hyperlink" Target="https://youtu.be/CoHUM6vdjog" TargetMode="External"/><Relationship Id="rId736" Type="http://schemas.openxmlformats.org/officeDocument/2006/relationships/hyperlink" Target="https://www.youtube.com/watch?v=SXYrUTUwFoc&amp;pp=ygUNUmV2ZXJzZSBMdW5nZQ%3D%3D" TargetMode="External"/><Relationship Id="rId978" Type="http://schemas.openxmlformats.org/officeDocument/2006/relationships/hyperlink" Target="https://youtu.be/lWEBiB42FZ8" TargetMode="External"/><Relationship Id="rId735" Type="http://schemas.openxmlformats.org/officeDocument/2006/relationships/hyperlink" Target="https://www.youtube.com/watch?v=HHzBjUHrWf4&amp;pp=ygUWUmV2ZXJzZSBMYW5kbWluZSBMdW5nZQ%3D%3D" TargetMode="External"/><Relationship Id="rId977" Type="http://schemas.openxmlformats.org/officeDocument/2006/relationships/hyperlink" Target="https://youtu.be/a4-MC4W1_4Y" TargetMode="External"/><Relationship Id="rId37" Type="http://schemas.openxmlformats.org/officeDocument/2006/relationships/hyperlink" Target="https://www.youtube.com/watch?v=stwYTTPXubo" TargetMode="External"/><Relationship Id="rId36" Type="http://schemas.openxmlformats.org/officeDocument/2006/relationships/hyperlink" Target="https://www.youtube.com/watch?v=h6tQmRu9h2E&amp;pp=ygUPQmFuZCBQcmVzcy1Eb3du" TargetMode="External"/><Relationship Id="rId39" Type="http://schemas.openxmlformats.org/officeDocument/2006/relationships/hyperlink" Target="https://www.youtube.com/watch?v=A-uiFTIsgRg" TargetMode="External"/><Relationship Id="rId38" Type="http://schemas.openxmlformats.org/officeDocument/2006/relationships/hyperlink" Target="https://www.youtube.com/watch?v=BvyQEahQ3XA" TargetMode="External"/><Relationship Id="rId730" Type="http://schemas.openxmlformats.org/officeDocument/2006/relationships/hyperlink" Target="https://www.youtube.com/watch?v=z9dhokzNGP8&amp;pp=ygUlUmVhci1Gb290LUVsZXZhdGVkIEdvYmxldCBTcGxpdCBTcXVhdA%3D%3D" TargetMode="External"/><Relationship Id="rId972" Type="http://schemas.openxmlformats.org/officeDocument/2006/relationships/hyperlink" Target="https://youtu.be/evtRb6cPF-Q" TargetMode="External"/><Relationship Id="rId971" Type="http://schemas.openxmlformats.org/officeDocument/2006/relationships/hyperlink" Target="https://youtu.be/NBR6tozmx2I" TargetMode="External"/><Relationship Id="rId970" Type="http://schemas.openxmlformats.org/officeDocument/2006/relationships/hyperlink" Target="https://youtu.be/jQVOV0NlF_I" TargetMode="External"/><Relationship Id="rId1114" Type="http://schemas.openxmlformats.org/officeDocument/2006/relationships/hyperlink" Target="https://youtu.be/HdhmIUkB-iY" TargetMode="External"/><Relationship Id="rId1115" Type="http://schemas.openxmlformats.org/officeDocument/2006/relationships/hyperlink" Target="https://youtu.be/8l3HR7vpdh0" TargetMode="External"/><Relationship Id="rId20" Type="http://schemas.openxmlformats.org/officeDocument/2006/relationships/hyperlink" Target="https://www.youtube.com/watch?v=xbj6TtFJgIY" TargetMode="External"/><Relationship Id="rId1116" Type="http://schemas.openxmlformats.org/officeDocument/2006/relationships/hyperlink" Target="https://youtu.be/4Ju7WeL7unw" TargetMode="External"/><Relationship Id="rId1117" Type="http://schemas.openxmlformats.org/officeDocument/2006/relationships/hyperlink" Target="https://youtu.be/cIqzwOUilR4" TargetMode="External"/><Relationship Id="rId22" Type="http://schemas.openxmlformats.org/officeDocument/2006/relationships/hyperlink" Target="https://www.youtube.com/watch?v=WnADyvqlfDg" TargetMode="External"/><Relationship Id="rId1118" Type="http://schemas.openxmlformats.org/officeDocument/2006/relationships/hyperlink" Target="https://youtu.be/WzvsIU9FW60" TargetMode="External"/><Relationship Id="rId21" Type="http://schemas.openxmlformats.org/officeDocument/2006/relationships/hyperlink" Target="https://www.youtube.com/watch?v=9uqGfOvtqn0" TargetMode="External"/><Relationship Id="rId1119" Type="http://schemas.openxmlformats.org/officeDocument/2006/relationships/hyperlink" Target="https://youtu.be/9M0OOz5MnVU" TargetMode="External"/><Relationship Id="rId24" Type="http://schemas.openxmlformats.org/officeDocument/2006/relationships/hyperlink" Target="https://www.youtube.com/watch?v=wTQ_wwE-ZuI" TargetMode="External"/><Relationship Id="rId23" Type="http://schemas.openxmlformats.org/officeDocument/2006/relationships/hyperlink" Target="https://www.youtube.com/watch?v=A-uiFTIsgRg" TargetMode="External"/><Relationship Id="rId525" Type="http://schemas.openxmlformats.org/officeDocument/2006/relationships/hyperlink" Target="https://www.youtube.com/watch?v=hinonqqzatk&amp;pp=ygULS0IgRGVhZGxpZnQ%3D" TargetMode="External"/><Relationship Id="rId767" Type="http://schemas.openxmlformats.org/officeDocument/2006/relationships/hyperlink" Target="https://www.youtube.com/watch?v=Jmyx_fRYDt4&amp;pp=ygUZU2NhcHVsYXIgUHVzaHVwIG9uIEVsYm93cw%3D%3D" TargetMode="External"/><Relationship Id="rId524" Type="http://schemas.openxmlformats.org/officeDocument/2006/relationships/hyperlink" Target="https://www.youtube.com/watch?v=ylqOMMVUoVw&amp;pp=ygUOS0FTIEhpcCBUaHJ1c3Q%3D" TargetMode="External"/><Relationship Id="rId766" Type="http://schemas.openxmlformats.org/officeDocument/2006/relationships/hyperlink" Target="https://www.youtube.com/watch?v=5YHZnEsE9hA&amp;pp=ygUQU2NhcHVsYXIgUHVzaCBVcA%3D%3D" TargetMode="External"/><Relationship Id="rId523" Type="http://schemas.openxmlformats.org/officeDocument/2006/relationships/hyperlink" Target="https://www.youtube.com/shorts/yg3KQQn3QWg" TargetMode="External"/><Relationship Id="rId765" Type="http://schemas.openxmlformats.org/officeDocument/2006/relationships/hyperlink" Target="https://www.youtube.com/watch?v=kCoCVLZvI8E&amp;pp=ygUNU2NhcCBQdWxsLVVwcw%3D%3D" TargetMode="External"/><Relationship Id="rId522" Type="http://schemas.openxmlformats.org/officeDocument/2006/relationships/hyperlink" Target="https://www.youtube.com/watch?v=A-cFYWvaHr0&amp;pp=ygULSnVtcCBTcXVhdHM%3D" TargetMode="External"/><Relationship Id="rId764" Type="http://schemas.openxmlformats.org/officeDocument/2006/relationships/hyperlink" Target="https://www.youtube.com/watch?v=RFscllOmYvA&amp;pp=ygULU0IgQ3J1bmNoZXM%3D" TargetMode="External"/><Relationship Id="rId529" Type="http://schemas.openxmlformats.org/officeDocument/2006/relationships/hyperlink" Target="https://www.youtube.com/watch?v=YSxHifyI6s8&amp;pp=ygUQS2V0dGxlYmVsbCBTd2luZw%3D%3D" TargetMode="External"/><Relationship Id="rId528" Type="http://schemas.openxmlformats.org/officeDocument/2006/relationships/hyperlink" Target="https://www.youtube.com/watch?v=hinonqqzatk&amp;pp=ygUTS2V0dGxlYmVsbCBEZWFkbGlmdA%3D%3D" TargetMode="External"/><Relationship Id="rId527" Type="http://schemas.openxmlformats.org/officeDocument/2006/relationships/hyperlink" Target="https://www.youtube.com/watch?v=IAByZREjXp8&amp;pp=ygURS2V0dGxlYmVsbCBBcm1iYXI%3D" TargetMode="External"/><Relationship Id="rId769" Type="http://schemas.openxmlformats.org/officeDocument/2006/relationships/hyperlink" Target="https://www.youtube.com/watch?v=d_KZxkY_0cM&amp;pp=ygUMU2N1bGxjcnVzaGVy%27" TargetMode="External"/><Relationship Id="rId526" Type="http://schemas.openxmlformats.org/officeDocument/2006/relationships/hyperlink" Target="https://www.youtube.com/watch?v=2_mHMuzJ4c0&amp;pp=ygURS0IgU3RhbmRpbmcgTWFyY2g%3D" TargetMode="External"/><Relationship Id="rId768" Type="http://schemas.openxmlformats.org/officeDocument/2006/relationships/hyperlink" Target="https://www.youtube.com/watch?v=c1rn3sjgbfY&amp;pp=ygUTU2NhcHVsYXIgV2FsbC1TbGlkZQ%3D%3D" TargetMode="External"/><Relationship Id="rId26" Type="http://schemas.openxmlformats.org/officeDocument/2006/relationships/hyperlink" Target="https://www.youtube.com/watch?v=wFj808u2HWU" TargetMode="External"/><Relationship Id="rId25" Type="http://schemas.openxmlformats.org/officeDocument/2006/relationships/hyperlink" Target="https://www.youtube.com/watch?v=49Uozp9wfik" TargetMode="External"/><Relationship Id="rId28" Type="http://schemas.openxmlformats.org/officeDocument/2006/relationships/hyperlink" Target="https://www.youtube.com/watch?v=H8Swl1N-uis" TargetMode="External"/><Relationship Id="rId27" Type="http://schemas.openxmlformats.org/officeDocument/2006/relationships/hyperlink" Target="https://www.youtube.com/watch?v=a2BOfZ1Ll8E" TargetMode="External"/><Relationship Id="rId521" Type="http://schemas.openxmlformats.org/officeDocument/2006/relationships/hyperlink" Target="https://www.youtube.com/watch?v=1-KvIEU03yc&amp;pp=ygUJSnVtcCBSb3Bl" TargetMode="External"/><Relationship Id="rId763" Type="http://schemas.openxmlformats.org/officeDocument/2006/relationships/hyperlink" Target="https://www.youtube.com/watch?v=_4ev5sIEvfA&amp;pp=ygUMU2FsdXRlIFBsYW5r" TargetMode="External"/><Relationship Id="rId1110" Type="http://schemas.openxmlformats.org/officeDocument/2006/relationships/hyperlink" Target="https://youtu.be/JyuiDu2llOY" TargetMode="External"/><Relationship Id="rId29" Type="http://schemas.openxmlformats.org/officeDocument/2006/relationships/hyperlink" Target="https://www.youtube.com/watch?v=ph3pddpKzzw&amp;pp=ygUVQmFjayBFeHRlbnNpb24gdG8gWSdz" TargetMode="External"/><Relationship Id="rId520" Type="http://schemas.openxmlformats.org/officeDocument/2006/relationships/hyperlink" Target="https://www.youtube.com/watch?v=NFnCuyJCx7c&amp;pp=ygUYSnVtcCBMdW5nZXMgd2l0aCBQdW5jaGVz" TargetMode="External"/><Relationship Id="rId762" Type="http://schemas.openxmlformats.org/officeDocument/2006/relationships/hyperlink" Target="https://www.youtube.com/watch?v=TfTUk2AjV7g&amp;pp=ygUYUnVzc2lhbiBUd2lzdCAoV2VpZ2h0ZWQp" TargetMode="External"/><Relationship Id="rId1111" Type="http://schemas.openxmlformats.org/officeDocument/2006/relationships/hyperlink" Target="https://youtu.be/xeY-Cofynwk" TargetMode="External"/><Relationship Id="rId761" Type="http://schemas.openxmlformats.org/officeDocument/2006/relationships/hyperlink" Target="https://www.youtube.com/watch?v=wkD8rjkodUI&amp;pp=ygUNUnVzc2lhbiBUd2lzdA%3D%3D" TargetMode="External"/><Relationship Id="rId1112" Type="http://schemas.openxmlformats.org/officeDocument/2006/relationships/hyperlink" Target="https://youtu.be/B3W05_n3EGg" TargetMode="External"/><Relationship Id="rId760" Type="http://schemas.openxmlformats.org/officeDocument/2006/relationships/hyperlink" Target="https://www.youtube.com/watch?v=yjB23ki0HHE&amp;pp=ygUQUnVubmVyJ3MgU3RyZXRjaA%3D%3D" TargetMode="External"/><Relationship Id="rId1113" Type="http://schemas.openxmlformats.org/officeDocument/2006/relationships/hyperlink" Target="https://youtu.be/y6Bv_0Shhc8" TargetMode="External"/><Relationship Id="rId1103" Type="http://schemas.openxmlformats.org/officeDocument/2006/relationships/hyperlink" Target="https://youtu.be/-3zBscg3IiY" TargetMode="External"/><Relationship Id="rId1104" Type="http://schemas.openxmlformats.org/officeDocument/2006/relationships/hyperlink" Target="https://youtu.be/6URcQFbGZTA" TargetMode="External"/><Relationship Id="rId1105" Type="http://schemas.openxmlformats.org/officeDocument/2006/relationships/hyperlink" Target="https://youtu.be/QU3EGV5vQYA" TargetMode="External"/><Relationship Id="rId1106" Type="http://schemas.openxmlformats.org/officeDocument/2006/relationships/hyperlink" Target="https://youtu.be/WDYFfr6KRoM" TargetMode="External"/><Relationship Id="rId11" Type="http://schemas.openxmlformats.org/officeDocument/2006/relationships/hyperlink" Target="https://www.youtube.com/watch?v=E6GoQYuZZT4" TargetMode="External"/><Relationship Id="rId1107" Type="http://schemas.openxmlformats.org/officeDocument/2006/relationships/hyperlink" Target="https://youtu.be/2b0LY4tyzgk" TargetMode="External"/><Relationship Id="rId10" Type="http://schemas.openxmlformats.org/officeDocument/2006/relationships/hyperlink" Target="https://www.youtube.com/watch?v=0EIDVDbzVNo" TargetMode="External"/><Relationship Id="rId1108" Type="http://schemas.openxmlformats.org/officeDocument/2006/relationships/hyperlink" Target="https://youtu.be/MfUx9FCOb1E" TargetMode="External"/><Relationship Id="rId13" Type="http://schemas.openxmlformats.org/officeDocument/2006/relationships/hyperlink" Target="https://www.youtube.com/watch?v=CBL_WRQjvuY" TargetMode="External"/><Relationship Id="rId1109" Type="http://schemas.openxmlformats.org/officeDocument/2006/relationships/hyperlink" Target="https://youtu.be/TfLt8orAiiQ" TargetMode="External"/><Relationship Id="rId12" Type="http://schemas.openxmlformats.org/officeDocument/2006/relationships/hyperlink" Target="https://www.youtube.com/watch?v=fcvdXzWoogg" TargetMode="External"/><Relationship Id="rId519" Type="http://schemas.openxmlformats.org/officeDocument/2006/relationships/hyperlink" Target="https://www.youtube.com/shorts/a5Hyo_rlWQw" TargetMode="External"/><Relationship Id="rId514" Type="http://schemas.openxmlformats.org/officeDocument/2006/relationships/hyperlink" Target="https://www.youtube.com/watch?v=Khcg0HgdpOY&amp;pp=ygUOSGlwLUJlbHQgU3F1YXQ%3D" TargetMode="External"/><Relationship Id="rId756" Type="http://schemas.openxmlformats.org/officeDocument/2006/relationships/hyperlink" Target="https://www.youtube.com/watch?v=huKdEsssSUo&amp;pp=ygUcUm9tYW5pYW4gRGVhZGxpZnQgV2l0aCBEb3dlbA%3D%3D" TargetMode="External"/><Relationship Id="rId998" Type="http://schemas.openxmlformats.org/officeDocument/2006/relationships/hyperlink" Target="https://youtu.be/KNxcFMBgFFU" TargetMode="External"/><Relationship Id="rId513" Type="http://schemas.openxmlformats.org/officeDocument/2006/relationships/hyperlink" Target="https://www.youtube.com/watch?v=JwancB1LTsQ&amp;pp=ygUMSGlwIFJvdGF0aW9u" TargetMode="External"/><Relationship Id="rId755" Type="http://schemas.openxmlformats.org/officeDocument/2006/relationships/hyperlink" Target="https://www.youtube.com/watch?v=nWtmxbMBEJo&amp;pp=ygUfUm9tYW5pYW4gRGVhZGxpZnQgVG8gQmljZXAgQ3VybA%3D%3D" TargetMode="External"/><Relationship Id="rId997" Type="http://schemas.openxmlformats.org/officeDocument/2006/relationships/hyperlink" Target="https://youtu.be/dD9n9gFzawg" TargetMode="External"/><Relationship Id="rId512" Type="http://schemas.openxmlformats.org/officeDocument/2006/relationships/hyperlink" Target="https://www.youtube.com/watch?v=m2UEzPheLYk&amp;pp=ygUSSGlwIEZsZXhvciBTdHJldGNo" TargetMode="External"/><Relationship Id="rId754" Type="http://schemas.openxmlformats.org/officeDocument/2006/relationships/hyperlink" Target="https://www.youtube.com/watch?v=LURGDIX3adY&amp;pp=ygURUm9tYW5pYW4gRGVhZGxpZnQ%3D" TargetMode="External"/><Relationship Id="rId996" Type="http://schemas.openxmlformats.org/officeDocument/2006/relationships/hyperlink" Target="https://youtu.be/VICKgdEj554" TargetMode="External"/><Relationship Id="rId511" Type="http://schemas.openxmlformats.org/officeDocument/2006/relationships/hyperlink" Target="https://www.youtube.com/shorts/V4wtvX841A4" TargetMode="External"/><Relationship Id="rId753" Type="http://schemas.openxmlformats.org/officeDocument/2006/relationships/hyperlink" Target="https://www.youtube.com/watch?v=wbwu895NW9w&amp;pp=ygUoUm9ja2VkLUJhY2sgUXVhZHJ1cGVkIEV4dGVuc2lvbi1Sb3RhdGlvbg%3D%3D" TargetMode="External"/><Relationship Id="rId995" Type="http://schemas.openxmlformats.org/officeDocument/2006/relationships/hyperlink" Target="https://youtu.be/7JtzNydMIJ8" TargetMode="External"/><Relationship Id="rId518" Type="http://schemas.openxmlformats.org/officeDocument/2006/relationships/hyperlink" Target="https://www.youtube.com/watch?v=v4-w6r5bASs&amp;pp=ygUKSnVtcCBMdW5nZQ%3D%3D" TargetMode="External"/><Relationship Id="rId517" Type="http://schemas.openxmlformats.org/officeDocument/2006/relationships/hyperlink" Target="https://www.youtube.com/watch?v=y80cxEpuYEU&amp;pp=ygUUSmVmZmVyc29uIEN1cmxzIChLQik%3D" TargetMode="External"/><Relationship Id="rId759" Type="http://schemas.openxmlformats.org/officeDocument/2006/relationships/hyperlink" Target="https://www.youtube.com/watch?v=ZN0J6qKCIrI&amp;pp=ygUPUm93aW5nIG1hY2h1aW5l" TargetMode="External"/><Relationship Id="rId516" Type="http://schemas.openxmlformats.org/officeDocument/2006/relationships/hyperlink" Target="https://www.youtube.com/watch?v=VSp0z7Mp5IU&amp;pp=ygUSSW5jaCBXb3JtIGV4ZXJjaXNl" TargetMode="External"/><Relationship Id="rId758" Type="http://schemas.openxmlformats.org/officeDocument/2006/relationships/hyperlink" Target="https://www.youtube.com/watch?v=q3F2Bao2Xnk&amp;pp=ygUYICAgCSBSb3cgQm9hdHMgZXhlcmNpc2Vz" TargetMode="External"/><Relationship Id="rId515" Type="http://schemas.openxmlformats.org/officeDocument/2006/relationships/hyperlink" Target="https://www.youtube.com/watch?v=ZAK9zuAmEgM&amp;pp=ygUQSW4gYW5kIE91dCBKdW1wcw%3D%3D" TargetMode="External"/><Relationship Id="rId757" Type="http://schemas.openxmlformats.org/officeDocument/2006/relationships/hyperlink" Target="https://www.youtube.com/watch?v=ASThkQl4fWg&amp;pp=ygUTUm90YXRpbmcgQmVhciBQbGFuaw%3D%3D" TargetMode="External"/><Relationship Id="rId999" Type="http://schemas.openxmlformats.org/officeDocument/2006/relationships/hyperlink" Target="https://youtu.be/0FWRt_h4-do" TargetMode="External"/><Relationship Id="rId15" Type="http://schemas.openxmlformats.org/officeDocument/2006/relationships/hyperlink" Target="https://www.youtube.com/watch?v=8KNHP0mN9Lc" TargetMode="External"/><Relationship Id="rId990" Type="http://schemas.openxmlformats.org/officeDocument/2006/relationships/hyperlink" Target="https://youtube.com/shorts/OpiE9QGKfuo?feature=share" TargetMode="External"/><Relationship Id="rId14" Type="http://schemas.openxmlformats.org/officeDocument/2006/relationships/hyperlink" Target="https://www.youtube.com/watch?v=wFbJajvBZzY" TargetMode="External"/><Relationship Id="rId17" Type="http://schemas.openxmlformats.org/officeDocument/2006/relationships/hyperlink" Target="https://www.youtube.com/watch?v=-1K0m5ywRcY" TargetMode="External"/><Relationship Id="rId16" Type="http://schemas.openxmlformats.org/officeDocument/2006/relationships/hyperlink" Target="https://www.youtube.com/watch?v=p4tsleylZB8" TargetMode="External"/><Relationship Id="rId19" Type="http://schemas.openxmlformats.org/officeDocument/2006/relationships/hyperlink" Target="https://www.youtube.com/watch?v=6Z15_WdXmVw" TargetMode="External"/><Relationship Id="rId510" Type="http://schemas.openxmlformats.org/officeDocument/2006/relationships/hyperlink" Target="https://www.youtube.com/watch?v=O0YvpJZsf9I&amp;pp=ygUVSGlwIEV4dGVuc2lvbiBNYWNoaW5l" TargetMode="External"/><Relationship Id="rId752" Type="http://schemas.openxmlformats.org/officeDocument/2006/relationships/hyperlink" Target="https://www.youtube.com/watch?v=u3XIZSv2Npw&amp;pp=ygUbUmluZyBSb3cgV2l0aCBGZWV0IEVsZXZhdGVk" TargetMode="External"/><Relationship Id="rId994" Type="http://schemas.openxmlformats.org/officeDocument/2006/relationships/hyperlink" Target="https://youtu.be/5F43-LTIBgY" TargetMode="External"/><Relationship Id="rId18" Type="http://schemas.openxmlformats.org/officeDocument/2006/relationships/hyperlink" Target="https://www.youtube.com/watch?v=3ml7BH7mNwQ" TargetMode="External"/><Relationship Id="rId751" Type="http://schemas.openxmlformats.org/officeDocument/2006/relationships/hyperlink" Target="https://www.youtube.com/watch?v=xhlReCpAE9k&amp;pp=ygUIUmluZyBSb3c%3D%27" TargetMode="External"/><Relationship Id="rId993" Type="http://schemas.openxmlformats.org/officeDocument/2006/relationships/hyperlink" Target="https://youtu.be/VZObelUFlWM" TargetMode="External"/><Relationship Id="rId1100" Type="http://schemas.openxmlformats.org/officeDocument/2006/relationships/hyperlink" Target="https://youtu.be/Y_GWyIx1ROo" TargetMode="External"/><Relationship Id="rId750" Type="http://schemas.openxmlformats.org/officeDocument/2006/relationships/hyperlink" Target="https://www.youtube.com/watch?v=FRiiZRhapeU&amp;pp=ygULUmluZyBQdXNodXA%3D" TargetMode="External"/><Relationship Id="rId992" Type="http://schemas.openxmlformats.org/officeDocument/2006/relationships/hyperlink" Target="https://youtu.be/HFDFimq5cus" TargetMode="External"/><Relationship Id="rId1101" Type="http://schemas.openxmlformats.org/officeDocument/2006/relationships/hyperlink" Target="https://youtu.be/Y_GWyIx1ROo" TargetMode="External"/><Relationship Id="rId991" Type="http://schemas.openxmlformats.org/officeDocument/2006/relationships/hyperlink" Target="https://youtu.be/Id-g0YHkuVo" TargetMode="External"/><Relationship Id="rId1102" Type="http://schemas.openxmlformats.org/officeDocument/2006/relationships/hyperlink" Target="https://youtu.be/VEHSamPOkX4" TargetMode="External"/><Relationship Id="rId84" Type="http://schemas.openxmlformats.org/officeDocument/2006/relationships/hyperlink" Target="https://www.youtube.com/watch?v=LfyQBUKR8SE" TargetMode="External"/><Relationship Id="rId83" Type="http://schemas.openxmlformats.org/officeDocument/2006/relationships/hyperlink" Target="https://www.youtube.com/watch?v=CpWsUsqBtN8" TargetMode="External"/><Relationship Id="rId86" Type="http://schemas.openxmlformats.org/officeDocument/2006/relationships/hyperlink" Target="https://www.youtube.com/watch?v=ZPp34SHzQqA" TargetMode="External"/><Relationship Id="rId85" Type="http://schemas.openxmlformats.org/officeDocument/2006/relationships/hyperlink" Target="https://www.youtube.com/watch?v=Xrg96YYN0Fc" TargetMode="External"/><Relationship Id="rId88" Type="http://schemas.openxmlformats.org/officeDocument/2006/relationships/hyperlink" Target="https://www.youtube.com/watch?v=9vYCwtHkWgI&amp;pp=ygUTQmFyYmVsbCBGbG9vciBQcmVzcw%3D%3D" TargetMode="External"/><Relationship Id="rId87" Type="http://schemas.openxmlformats.org/officeDocument/2006/relationships/hyperlink" Target="https://www.youtube.com/watch?v=hOwZLq1VSRg" TargetMode="External"/><Relationship Id="rId89" Type="http://schemas.openxmlformats.org/officeDocument/2006/relationships/hyperlink" Target="https://www.youtube.com/watch?v=_ikCPws1mbE" TargetMode="External"/><Relationship Id="rId709" Type="http://schemas.openxmlformats.org/officeDocument/2006/relationships/hyperlink" Target="https://www.youtube.com/shorts/niU_1VlJmeA" TargetMode="External"/><Relationship Id="rId708" Type="http://schemas.openxmlformats.org/officeDocument/2006/relationships/hyperlink" Target="https://www.youtube.com/watch?v=clVj2dQ_GoY&amp;pp=ygUXUHVzaCBVcCB0byBSZW5lZ2FkZSBSb3c%3D" TargetMode="External"/><Relationship Id="rId707" Type="http://schemas.openxmlformats.org/officeDocument/2006/relationships/hyperlink" Target="https://www.youtube.com/watch?v=BzVQ_utfopY&amp;pp=ygUQUHVzaCBVcCB0byBSZWFjaA%3D%3D" TargetMode="External"/><Relationship Id="rId949" Type="http://schemas.openxmlformats.org/officeDocument/2006/relationships/hyperlink" Target="https://youtu.be/D0Yoa0_cfkk" TargetMode="External"/><Relationship Id="rId706" Type="http://schemas.openxmlformats.org/officeDocument/2006/relationships/hyperlink" Target="https://www.youtube.com/watch?v=3_mq9m6Yau8&amp;pp=ygUXUHVzaCBVcCB0byBQdWxsIFRocm91Z2g%3D" TargetMode="External"/><Relationship Id="rId948" Type="http://schemas.openxmlformats.org/officeDocument/2006/relationships/hyperlink" Target="https://youtu.be/panVpr1Dz68" TargetMode="External"/><Relationship Id="rId80" Type="http://schemas.openxmlformats.org/officeDocument/2006/relationships/hyperlink" Target="https://www.youtube.com/watch?v=uvhnpOjDye8" TargetMode="External"/><Relationship Id="rId82" Type="http://schemas.openxmlformats.org/officeDocument/2006/relationships/hyperlink" Target="https://www.youtube.com/watch?v=jNIUXckSaDA" TargetMode="External"/><Relationship Id="rId81" Type="http://schemas.openxmlformats.org/officeDocument/2006/relationships/hyperlink" Target="https://www.youtube.com/watch?v=vfKwjT5-86k" TargetMode="External"/><Relationship Id="rId701" Type="http://schemas.openxmlformats.org/officeDocument/2006/relationships/hyperlink" Target="https://www.youtube.com/watch?v=IODxDxX7oi4&amp;pp=ygUQUHVzaCBVcCBleGVyY2lzZQ%3D%3D" TargetMode="External"/><Relationship Id="rId943" Type="http://schemas.openxmlformats.org/officeDocument/2006/relationships/hyperlink" Target="https://youtu.be/uJ4eA2wUXdw" TargetMode="External"/><Relationship Id="rId700" Type="http://schemas.openxmlformats.org/officeDocument/2006/relationships/hyperlink" Target="https://www.youtube.com/watch?v=r8NaWdh8jyE&amp;pp=ygUMUHVsc2UgU3F1YXRz" TargetMode="External"/><Relationship Id="rId942" Type="http://schemas.openxmlformats.org/officeDocument/2006/relationships/hyperlink" Target="https://youtu.be/R5ew7Gd5hkg" TargetMode="External"/><Relationship Id="rId941" Type="http://schemas.openxmlformats.org/officeDocument/2006/relationships/hyperlink" Target="https://youtu.be/L5ljNgP5KQY" TargetMode="External"/><Relationship Id="rId940" Type="http://schemas.openxmlformats.org/officeDocument/2006/relationships/hyperlink" Target="https://youtu.be/0LnYSmuZ0xg" TargetMode="External"/><Relationship Id="rId705" Type="http://schemas.openxmlformats.org/officeDocument/2006/relationships/hyperlink" Target="https://www.youtube.com/watch?v=5Zy4NBDYsCw&amp;pp=ygUfUHVzaCBVcCB0byBBbHRlcm5hdGluZyBLbmVlIFRhcA%3D%3D" TargetMode="External"/><Relationship Id="rId947" Type="http://schemas.openxmlformats.org/officeDocument/2006/relationships/hyperlink" Target="https://youtu.be/lGTESnlDcgU" TargetMode="External"/><Relationship Id="rId704" Type="http://schemas.openxmlformats.org/officeDocument/2006/relationships/hyperlink" Target="https://www.youtube.com/watch?v=5Zy4NBDYsCw&amp;pp=ygUfUHVzaCBVcCB0byBBbHRlcm5hdGluZyBLbmVlIFRhcA%3D%3D" TargetMode="External"/><Relationship Id="rId946" Type="http://schemas.openxmlformats.org/officeDocument/2006/relationships/hyperlink" Target="https://youtu.be/9C1yGA0Il-o" TargetMode="External"/><Relationship Id="rId703" Type="http://schemas.openxmlformats.org/officeDocument/2006/relationships/hyperlink" Target="https://www.youtube.com/watch?v=PtMfICbr8CE&amp;pp=ygUTUHVzaCBVcCBEb25rZXkgS2ljaw%3D%3D" TargetMode="External"/><Relationship Id="rId945" Type="http://schemas.openxmlformats.org/officeDocument/2006/relationships/hyperlink" Target="https://youtu.be/gAPffOEheYI" TargetMode="External"/><Relationship Id="rId702" Type="http://schemas.openxmlformats.org/officeDocument/2006/relationships/hyperlink" Target="https://www.youtube.com/watch?v=IODxDxX7oi4&amp;pp=ygUQUHVzaCBVcCBleGVyY2lzZQ%3D%3D" TargetMode="External"/><Relationship Id="rId944" Type="http://schemas.openxmlformats.org/officeDocument/2006/relationships/hyperlink" Target="https://youtu.be/VUiFlZ2FsKA" TargetMode="External"/><Relationship Id="rId73" Type="http://schemas.openxmlformats.org/officeDocument/2006/relationships/hyperlink" Target="https://www.youtube.com/watch?v=nBc_2Jyp3tM" TargetMode="External"/><Relationship Id="rId72" Type="http://schemas.openxmlformats.org/officeDocument/2006/relationships/hyperlink" Target="https://www.youtube.com/watch?v=QZEqB6wUPxQ" TargetMode="External"/><Relationship Id="rId75" Type="http://schemas.openxmlformats.org/officeDocument/2006/relationships/hyperlink" Target="https://www.youtube.com/watch?v=ly5AOZB0bc4" TargetMode="External"/><Relationship Id="rId74" Type="http://schemas.openxmlformats.org/officeDocument/2006/relationships/hyperlink" Target="https://www.youtube.com/watch?v=-4LVK1crLSw" TargetMode="External"/><Relationship Id="rId77" Type="http://schemas.openxmlformats.org/officeDocument/2006/relationships/hyperlink" Target="https://www.youtube.com/watch?v=vEUyEOVn3yM" TargetMode="External"/><Relationship Id="rId76" Type="http://schemas.openxmlformats.org/officeDocument/2006/relationships/hyperlink" Target="https://www.youtube.com/watch?v=Cv5nS1AH_jE" TargetMode="External"/><Relationship Id="rId79" Type="http://schemas.openxmlformats.org/officeDocument/2006/relationships/hyperlink" Target="https://www.youtube.com/watch?v=QZEqB6wUPxQ" TargetMode="External"/><Relationship Id="rId78" Type="http://schemas.openxmlformats.org/officeDocument/2006/relationships/hyperlink" Target="https://www.youtube.com/watch?v=vSupPQiBkeY" TargetMode="External"/><Relationship Id="rId939" Type="http://schemas.openxmlformats.org/officeDocument/2006/relationships/hyperlink" Target="https://youtu.be/mEoAgOIjOXI" TargetMode="External"/><Relationship Id="rId938" Type="http://schemas.openxmlformats.org/officeDocument/2006/relationships/hyperlink" Target="https://youtu.be/82IuSLk5zNc" TargetMode="External"/><Relationship Id="rId937" Type="http://schemas.openxmlformats.org/officeDocument/2006/relationships/hyperlink" Target="https://youtu.be/cM9Fc-Lfv0A" TargetMode="External"/><Relationship Id="rId71" Type="http://schemas.openxmlformats.org/officeDocument/2006/relationships/hyperlink" Target="https://www.youtube.com/watch?v=Nqh7q3zDCoQ" TargetMode="External"/><Relationship Id="rId70" Type="http://schemas.openxmlformats.org/officeDocument/2006/relationships/hyperlink" Target="https://www.youtube.com/watch?v=t2aOUqhQIBU" TargetMode="External"/><Relationship Id="rId932" Type="http://schemas.openxmlformats.org/officeDocument/2006/relationships/hyperlink" Target="https://youtu.be/1Dbd7wStRJg" TargetMode="External"/><Relationship Id="rId931" Type="http://schemas.openxmlformats.org/officeDocument/2006/relationships/hyperlink" Target="https://youtu.be/b1zTCyGJXCQ" TargetMode="External"/><Relationship Id="rId930" Type="http://schemas.openxmlformats.org/officeDocument/2006/relationships/hyperlink" Target="https://youtu.be/8D2hRCm_CoI" TargetMode="External"/><Relationship Id="rId936" Type="http://schemas.openxmlformats.org/officeDocument/2006/relationships/hyperlink" Target="https://youtu.be/OgkpItr9DOY" TargetMode="External"/><Relationship Id="rId935" Type="http://schemas.openxmlformats.org/officeDocument/2006/relationships/hyperlink" Target="https://youtu.be/0NjTj5J-F1g" TargetMode="External"/><Relationship Id="rId934" Type="http://schemas.openxmlformats.org/officeDocument/2006/relationships/hyperlink" Target="https://youtu.be/lQSlJHtsnRA" TargetMode="External"/><Relationship Id="rId933" Type="http://schemas.openxmlformats.org/officeDocument/2006/relationships/hyperlink" Target="https://youtu.be/ZYDTJaAM-gE" TargetMode="External"/><Relationship Id="rId62" Type="http://schemas.openxmlformats.org/officeDocument/2006/relationships/hyperlink" Target="https://www.youtube.com/watch?v=8zJtj0Bw6D0" TargetMode="External"/><Relationship Id="rId61" Type="http://schemas.openxmlformats.org/officeDocument/2006/relationships/hyperlink" Target="https://www.youtube.com/watch?v=P3QJbq1z_NA" TargetMode="External"/><Relationship Id="rId64" Type="http://schemas.openxmlformats.org/officeDocument/2006/relationships/hyperlink" Target="https://www.youtube.com/watch?v=3AZ_iF-_RFE" TargetMode="External"/><Relationship Id="rId63" Type="http://schemas.openxmlformats.org/officeDocument/2006/relationships/hyperlink" Target="https://www.youtube.com/watch?v=j5l0wcEOq1E" TargetMode="External"/><Relationship Id="rId66" Type="http://schemas.openxmlformats.org/officeDocument/2006/relationships/hyperlink" Target="https://www.youtube.com/watch?v=855BmSh1q_Y" TargetMode="External"/><Relationship Id="rId65" Type="http://schemas.openxmlformats.org/officeDocument/2006/relationships/hyperlink" Target="https://www.youtube.com/watch?v=U0O86X0TMek" TargetMode="External"/><Relationship Id="rId68" Type="http://schemas.openxmlformats.org/officeDocument/2006/relationships/hyperlink" Target="https://www.youtube.com/watch?v=8PMjqgR8Wa8" TargetMode="External"/><Relationship Id="rId67" Type="http://schemas.openxmlformats.org/officeDocument/2006/relationships/hyperlink" Target="https://www.youtube.com/watch?v=dgbhiejP7oI" TargetMode="External"/><Relationship Id="rId729" Type="http://schemas.openxmlformats.org/officeDocument/2006/relationships/hyperlink" Target="https://www.youtube.com/watch?v=AmgM_PjBq0I&amp;pp=ygUsUmVhci1Gb290LUVsZXZhdGVkIER1bWJiZWxsIFNwbGl0IFNxdWF0IEp1bXA%3D" TargetMode="External"/><Relationship Id="rId728" Type="http://schemas.openxmlformats.org/officeDocument/2006/relationships/hyperlink" Target="https://www.youtube.com/watch?v=JXn1Hnv_ZWE&amp;pp=ygUnUmVhci1Gb290LUVsZXZhdGVkIER1bWJiZWxsIFNwbGl0IFNxdWF0" TargetMode="External"/><Relationship Id="rId60" Type="http://schemas.openxmlformats.org/officeDocument/2006/relationships/hyperlink" Target="https://www.youtube.com/watch?v=0H7d2qjyKbU" TargetMode="External"/><Relationship Id="rId723" Type="http://schemas.openxmlformats.org/officeDocument/2006/relationships/hyperlink" Target="https://www.youtube.com/watch?v=SyB8EaNDi-I&amp;pp=ygUMUXVpY2sgQm91bmRz" TargetMode="External"/><Relationship Id="rId965" Type="http://schemas.openxmlformats.org/officeDocument/2006/relationships/hyperlink" Target="https://youtu.be/3VP9HV1nAyQ" TargetMode="External"/><Relationship Id="rId722" Type="http://schemas.openxmlformats.org/officeDocument/2006/relationships/hyperlink" Target="https://www.youtube.com/watch?v=RUjjKrORHpI&amp;pp=ygUXUXVhZHJ1cGVkIFNob3VsZGVyIFRhcHM%3D" TargetMode="External"/><Relationship Id="rId964" Type="http://schemas.openxmlformats.org/officeDocument/2006/relationships/hyperlink" Target="https://youtu.be/k95QyBwSoto" TargetMode="External"/><Relationship Id="rId721" Type="http://schemas.openxmlformats.org/officeDocument/2006/relationships/hyperlink" Target="https://www.youtube.com/watch?v=x1EOLZDWA80&amp;pp=ygUTUXVhZHJ1cGVkIFJvY2sgQmFjaw%3D%3D" TargetMode="External"/><Relationship Id="rId963" Type="http://schemas.openxmlformats.org/officeDocument/2006/relationships/hyperlink" Target="https://youtu.be/z_r6hDOYtO0" TargetMode="External"/><Relationship Id="rId720" Type="http://schemas.openxmlformats.org/officeDocument/2006/relationships/hyperlink" Target="https://www.youtube.com/watch?v=lhMKyeSwUhk&amp;pp=ygUcUXVhZHJ1cGVkIEV4dGVuc2lvbi1Sb3RhdGlvbg%3D%3D" TargetMode="External"/><Relationship Id="rId962" Type="http://schemas.openxmlformats.org/officeDocument/2006/relationships/hyperlink" Target="https://youtube.com/shorts/pGtdgrL5wmA?feature=share" TargetMode="External"/><Relationship Id="rId727" Type="http://schemas.openxmlformats.org/officeDocument/2006/relationships/hyperlink" Target="https://www.youtube.com/watch?v=kQ1VCHrfbbs&amp;pp=ygUpUmVhci1Gb290LUVsZXZhdGVkIEJvZHl3ZWlnaHQgU3BsaXQgU3F1YXQ%3D" TargetMode="External"/><Relationship Id="rId969" Type="http://schemas.openxmlformats.org/officeDocument/2006/relationships/hyperlink" Target="https://youtu.be/b8DqTO6ak0k" TargetMode="External"/><Relationship Id="rId726" Type="http://schemas.openxmlformats.org/officeDocument/2006/relationships/hyperlink" Target="https://www.youtube.com/watch?v=d0nAqfdrVkc&amp;pp=ygUmUmVhci1Gb290LUVsZXZhdGVkIEJhcmJlbGwgU3BsaXQgU3F1YXQ%3D" TargetMode="External"/><Relationship Id="rId968" Type="http://schemas.openxmlformats.org/officeDocument/2006/relationships/hyperlink" Target="https://youtu.be/vzqoYIf8T9c" TargetMode="External"/><Relationship Id="rId725" Type="http://schemas.openxmlformats.org/officeDocument/2006/relationships/hyperlink" Target="https://www.youtube.com/watch?v=9kqGbwTpoKQ&amp;pp=ygURUmFpbmJvdyBCYWxsIFNsYW0%3D" TargetMode="External"/><Relationship Id="rId967" Type="http://schemas.openxmlformats.org/officeDocument/2006/relationships/hyperlink" Target="https://youtu.be/8Tp_Hx1jdSc" TargetMode="External"/><Relationship Id="rId724" Type="http://schemas.openxmlformats.org/officeDocument/2006/relationships/hyperlink" Target="https://www.youtube.com/watch?v=cxVrqTqD_J4&amp;pp=ygUJUmFjayBQdWxs" TargetMode="External"/><Relationship Id="rId966" Type="http://schemas.openxmlformats.org/officeDocument/2006/relationships/hyperlink" Target="https://youtu.be/39qwRmE6ffc" TargetMode="External"/><Relationship Id="rId69" Type="http://schemas.openxmlformats.org/officeDocument/2006/relationships/hyperlink" Target="https://www.youtube.com/watch?v=rT7DgCr-3pg" TargetMode="External"/><Relationship Id="rId961" Type="http://schemas.openxmlformats.org/officeDocument/2006/relationships/hyperlink" Target="https://youtu.be/yMR95SIxwr0" TargetMode="External"/><Relationship Id="rId960" Type="http://schemas.openxmlformats.org/officeDocument/2006/relationships/hyperlink" Target="https://youtu.be/0w47384zyIk" TargetMode="External"/><Relationship Id="rId51" Type="http://schemas.openxmlformats.org/officeDocument/2006/relationships/hyperlink" Target="https://www.youtube.com/watch?v=7jwHVv51Zro" TargetMode="External"/><Relationship Id="rId50" Type="http://schemas.openxmlformats.org/officeDocument/2006/relationships/hyperlink" Target="https://www.youtube.com/watch?v=MkPz57rN2nw" TargetMode="External"/><Relationship Id="rId53" Type="http://schemas.openxmlformats.org/officeDocument/2006/relationships/hyperlink" Target="https://www.youtube.com/watch?v=Wq-Td9UXRK8" TargetMode="External"/><Relationship Id="rId52" Type="http://schemas.openxmlformats.org/officeDocument/2006/relationships/hyperlink" Target="https://www.youtube.com/watch?v=DYs9eFN_c5Y" TargetMode="External"/><Relationship Id="rId55" Type="http://schemas.openxmlformats.org/officeDocument/2006/relationships/hyperlink" Target="https://www.youtube.com/watch?v=wQjJXuVEsEc" TargetMode="External"/><Relationship Id="rId54" Type="http://schemas.openxmlformats.org/officeDocument/2006/relationships/hyperlink" Target="https://www.youtube.com/watch?v=h16B74bduTY" TargetMode="External"/><Relationship Id="rId57" Type="http://schemas.openxmlformats.org/officeDocument/2006/relationships/hyperlink" Target="https://www.youtube.com/watch?v=R-xLxPU5orI" TargetMode="External"/><Relationship Id="rId56" Type="http://schemas.openxmlformats.org/officeDocument/2006/relationships/hyperlink" Target="https://www.youtube.com/watch?v=FiyLIMmOs5w" TargetMode="External"/><Relationship Id="rId719" Type="http://schemas.openxmlformats.org/officeDocument/2006/relationships/hyperlink" Target="https://www.youtube.com/watch?v=H6CXpwaGIxs" TargetMode="External"/><Relationship Id="rId718" Type="http://schemas.openxmlformats.org/officeDocument/2006/relationships/hyperlink" Target="https://www.youtube.com/shorts/lh_N3speN0I" TargetMode="External"/><Relationship Id="rId717" Type="http://schemas.openxmlformats.org/officeDocument/2006/relationships/hyperlink" Target="https://www.youtube.com/shorts/Q-wr-Hy6B_g" TargetMode="External"/><Relationship Id="rId959" Type="http://schemas.openxmlformats.org/officeDocument/2006/relationships/hyperlink" Target="https://youtu.be/mZ-GmcmSb6E" TargetMode="External"/><Relationship Id="rId712" Type="http://schemas.openxmlformats.org/officeDocument/2006/relationships/hyperlink" Target="https://www.youtube.com/watch?v=IODxDxX7oi4&amp;pp=ygUQUHVzaCBVcCBleGVyY2lzZQ%3D%3D" TargetMode="External"/><Relationship Id="rId954" Type="http://schemas.openxmlformats.org/officeDocument/2006/relationships/hyperlink" Target="https://youtu.be/d_KZxkY_0cM" TargetMode="External"/><Relationship Id="rId711" Type="http://schemas.openxmlformats.org/officeDocument/2006/relationships/hyperlink" Target="https://www.youtube.com/watch?v=Ohz9RWkCvH0&amp;pp=ygUTUHVzaCBVcCB3LyBSb3RhdGlvbg%3D%3D" TargetMode="External"/><Relationship Id="rId953" Type="http://schemas.openxmlformats.org/officeDocument/2006/relationships/hyperlink" Target="https://youtu.be/m9MccH7mWO0" TargetMode="External"/><Relationship Id="rId710" Type="http://schemas.openxmlformats.org/officeDocument/2006/relationships/hyperlink" Target="https://www.youtube.com/watch?v=TwXPklkR8ws&amp;pp=ygUTUHVzaCBVcCB0byBTdXBlcm1hbg%3D%3D" TargetMode="External"/><Relationship Id="rId952" Type="http://schemas.openxmlformats.org/officeDocument/2006/relationships/hyperlink" Target="https://youtu.be/4RuxhVJ4-pg" TargetMode="External"/><Relationship Id="rId951" Type="http://schemas.openxmlformats.org/officeDocument/2006/relationships/hyperlink" Target="https://youtu.be/P9IAAME-1zw" TargetMode="External"/><Relationship Id="rId716" Type="http://schemas.openxmlformats.org/officeDocument/2006/relationships/hyperlink" Target="https://www.youtube.com/watch?v=Z7rFSpUcS5o&amp;pp=ygUMUXVhZCBSb2NrZXJz" TargetMode="External"/><Relationship Id="rId958" Type="http://schemas.openxmlformats.org/officeDocument/2006/relationships/hyperlink" Target="https://youtu.be/9XRRXaUpnLk" TargetMode="External"/><Relationship Id="rId715" Type="http://schemas.openxmlformats.org/officeDocument/2006/relationships/hyperlink" Target="https://www.youtube.com/watch?v=yyFBdDj7EbQ&amp;pp=ygUcIFB1c2gtVXBzIHdpdGggU2hvdWxkZXIgVGFwcw%3D%3D" TargetMode="External"/><Relationship Id="rId957" Type="http://schemas.openxmlformats.org/officeDocument/2006/relationships/hyperlink" Target="https://youtu.be/ReDTlAiHpdk" TargetMode="External"/><Relationship Id="rId714" Type="http://schemas.openxmlformats.org/officeDocument/2006/relationships/hyperlink" Target="https://www.youtube.com/watch?v=jWxvty2KROs&amp;pp=ygURUHVzaC1VcHMgb24gS25lZXM%3D" TargetMode="External"/><Relationship Id="rId956" Type="http://schemas.openxmlformats.org/officeDocument/2006/relationships/hyperlink" Target="https://youtu.be/d_KZxkY_0cM" TargetMode="External"/><Relationship Id="rId713" Type="http://schemas.openxmlformats.org/officeDocument/2006/relationships/hyperlink" Target="https://www.youtube.com/watch?v=10zRyqH3ckI&amp;pp=ygUdUHVzaC1VcCB0byBQbGFuayBQdWxsIFRocm91Z2g%3D" TargetMode="External"/><Relationship Id="rId955" Type="http://schemas.openxmlformats.org/officeDocument/2006/relationships/hyperlink" Target="https://youtu.be/D3_p8bO4bPE" TargetMode="External"/><Relationship Id="rId59" Type="http://schemas.openxmlformats.org/officeDocument/2006/relationships/hyperlink" Target="https://www.youtube.com/watch?v=KqTgISFdmew" TargetMode="External"/><Relationship Id="rId58" Type="http://schemas.openxmlformats.org/officeDocument/2006/relationships/hyperlink" Target="https://www.youtube.com/watch?v=O5-ROTyo2dA" TargetMode="External"/><Relationship Id="rId950" Type="http://schemas.openxmlformats.org/officeDocument/2006/relationships/hyperlink" Target="https://youtu.be/LF1gOCOS5nk" TargetMode="External"/><Relationship Id="rId590" Type="http://schemas.openxmlformats.org/officeDocument/2006/relationships/hyperlink" Target="https://www.youtube.com/watch?v=TrTSvn5-MTk&amp;pp=ygUbTWFjaGluZSBJbmNsaW5lIENoZXN0IFByZXNz" TargetMode="External"/><Relationship Id="rId107" Type="http://schemas.openxmlformats.org/officeDocument/2006/relationships/hyperlink" Target="https://www.youtube.com/watch?v=Ilt0GuTwB_Y" TargetMode="External"/><Relationship Id="rId349" Type="http://schemas.openxmlformats.org/officeDocument/2006/relationships/hyperlink" Target="https://www.youtube.com/watch?v=4XLEnwUr1d8&amp;pp=ygUIRGVhZCBCdWc%3D" TargetMode="External"/><Relationship Id="rId106" Type="http://schemas.openxmlformats.org/officeDocument/2006/relationships/hyperlink" Target="https://www.youtube.com/watch?v=dVM-rN5cd4E" TargetMode="External"/><Relationship Id="rId348" Type="http://schemas.openxmlformats.org/officeDocument/2006/relationships/hyperlink" Target="https://www.youtube.com/watch?v=I34ysEkPK7w" TargetMode="External"/><Relationship Id="rId105" Type="http://schemas.openxmlformats.org/officeDocument/2006/relationships/hyperlink" Target="https://www.youtube.com/watch?v=szES3xIzJPo" TargetMode="External"/><Relationship Id="rId347" Type="http://schemas.openxmlformats.org/officeDocument/2006/relationships/hyperlink" Target="https://www.youtube.com/watch?v=37tVohr7LcE&amp;pp=ygUKREIgU3RlcC11cA%3D%3D" TargetMode="External"/><Relationship Id="rId589" Type="http://schemas.openxmlformats.org/officeDocument/2006/relationships/hyperlink" Target="https://www.youtube.com/watch?v=GmRSV_n2E_0&amp;pp=ygUVTWFjaGluZSBIaXAgQWRkdWN0aW9u" TargetMode="External"/><Relationship Id="rId104" Type="http://schemas.openxmlformats.org/officeDocument/2006/relationships/hyperlink" Target="https://www.youtube.com/watch?v=xFlj3GiiRj4" TargetMode="External"/><Relationship Id="rId346" Type="http://schemas.openxmlformats.org/officeDocument/2006/relationships/hyperlink" Target="https://www.youtube.com/watch?v=v_c67Omje48&amp;pp=ygUJREIgU3F1YXRz" TargetMode="External"/><Relationship Id="rId588" Type="http://schemas.openxmlformats.org/officeDocument/2006/relationships/hyperlink" Target="https://www.youtube.com/watch?v=dL92FqMJqVY&amp;pp=ygUVTWFjaGluZSBIaXAgQWJkdWN0aW9u" TargetMode="External"/><Relationship Id="rId109" Type="http://schemas.openxmlformats.org/officeDocument/2006/relationships/hyperlink" Target="https://www.youtube.com/watch?v=kmFx0tti3ds" TargetMode="External"/><Relationship Id="rId1170" Type="http://schemas.openxmlformats.org/officeDocument/2006/relationships/hyperlink" Target="https://youtu.be/IyH1kkEFk9U" TargetMode="External"/><Relationship Id="rId108" Type="http://schemas.openxmlformats.org/officeDocument/2006/relationships/hyperlink" Target="https://www.youtube.com/watch?v=nknf16JJTZo" TargetMode="External"/><Relationship Id="rId1171" Type="http://schemas.openxmlformats.org/officeDocument/2006/relationships/hyperlink" Target="https://youtu.be/yiLsE4PCpOU" TargetMode="External"/><Relationship Id="rId341" Type="http://schemas.openxmlformats.org/officeDocument/2006/relationships/hyperlink" Target="https://www.youtube.com/watch?v=hQgFixeXdZo&amp;pp=ygUUREIgUm9tYW5pYW4gRGVhZGxpZnQ%3D" TargetMode="External"/><Relationship Id="rId583" Type="http://schemas.openxmlformats.org/officeDocument/2006/relationships/hyperlink" Target="https://www.youtube.com/watch?v=NwzUje3z0qY&amp;pp=ygUTTWFjaGluZSBDaGVzdCBQcmVzcw%3D%3D" TargetMode="External"/><Relationship Id="rId1172" Type="http://schemas.openxmlformats.org/officeDocument/2006/relationships/hyperlink" Target="https://youtu.be/T-bfBQXfL-I" TargetMode="External"/><Relationship Id="rId340" Type="http://schemas.openxmlformats.org/officeDocument/2006/relationships/hyperlink" Target="https://www.youtube.com/watch?v=NfMIqYNNLl8&amp;pp=ygURREIgUmV2ZXJzZSBMdW5nZXM%3D" TargetMode="External"/><Relationship Id="rId582" Type="http://schemas.openxmlformats.org/officeDocument/2006/relationships/hyperlink" Target="https://www.youtube.com/watch?v=WpVu2duHnQE&amp;pp=ygURTWFjaGluZSBCdXR0ZXJmbHk%3D" TargetMode="External"/><Relationship Id="rId1173" Type="http://schemas.openxmlformats.org/officeDocument/2006/relationships/hyperlink" Target="https://youtu.be/MtNsnW7Q7Fo" TargetMode="External"/><Relationship Id="rId581" Type="http://schemas.openxmlformats.org/officeDocument/2006/relationships/hyperlink" Target="https://www.youtube.com/watch?v=Ja6ZlIDONac&amp;pp=ygUTTWFjaGluZSBCaWNlcHMgQ3VybA%3D%3D" TargetMode="External"/><Relationship Id="rId1174" Type="http://schemas.openxmlformats.org/officeDocument/2006/relationships/hyperlink" Target="https://youtu.be/huwqkE9b6wE" TargetMode="External"/><Relationship Id="rId580" Type="http://schemas.openxmlformats.org/officeDocument/2006/relationships/hyperlink" Target="https://www.youtube.com/watch?v=GZbfZ033f74&amp;pp=ygUWTWFjaGluZSBCYWNrIENhYmxlIFJvdw%3D%3D" TargetMode="External"/><Relationship Id="rId1175" Type="http://schemas.openxmlformats.org/officeDocument/2006/relationships/hyperlink" Target="https://youtu.be/-cdph8hv0O0" TargetMode="External"/><Relationship Id="rId103" Type="http://schemas.openxmlformats.org/officeDocument/2006/relationships/hyperlink" Target="https://www.youtube.com/watch?v=_RlRDWO2jfg" TargetMode="External"/><Relationship Id="rId345" Type="http://schemas.openxmlformats.org/officeDocument/2006/relationships/hyperlink" Target="https://www.youtube.com/watch?v=MEG6blZtUpc&amp;pp=ygUOREIgU3BsaXQgU3F1YXQ%3D" TargetMode="External"/><Relationship Id="rId587" Type="http://schemas.openxmlformats.org/officeDocument/2006/relationships/hyperlink" Target="https://www.youtube.com/watch?v=LfEhHboTcow&amp;pp=ygUSTWFjaGluZSBIYWNrIFNxdWF0" TargetMode="External"/><Relationship Id="rId1176" Type="http://schemas.openxmlformats.org/officeDocument/2006/relationships/hyperlink" Target="https://youtu.be/YIvNRUJp7_E" TargetMode="External"/><Relationship Id="rId102" Type="http://schemas.openxmlformats.org/officeDocument/2006/relationships/hyperlink" Target="https://www.youtube.com/watch?v=1W1MnqIIZ7k" TargetMode="External"/><Relationship Id="rId344" Type="http://schemas.openxmlformats.org/officeDocument/2006/relationships/hyperlink" Target="https://www.youtube.com/watch?v=HHsOcHb_IFI&amp;pp=ygUSREIgU25hdGNoIHRvIFByZXNz" TargetMode="External"/><Relationship Id="rId586" Type="http://schemas.openxmlformats.org/officeDocument/2006/relationships/hyperlink" Target="https://www.youtube.com/watch?v=z15C9UZUbss&amp;pp=ygUXTWFjaGluZSBHbHV0ZS1IYW0gUmFpc2U%3D" TargetMode="External"/><Relationship Id="rId1177" Type="http://schemas.openxmlformats.org/officeDocument/2006/relationships/hyperlink" Target="https://youtu.be/zVvDMzZyO5M" TargetMode="External"/><Relationship Id="rId101" Type="http://schemas.openxmlformats.org/officeDocument/2006/relationships/hyperlink" Target="https://www.youtube.com/watch?v=De2G39d8S6E" TargetMode="External"/><Relationship Id="rId343" Type="http://schemas.openxmlformats.org/officeDocument/2006/relationships/hyperlink" Target="https://www.youtube.com/watch?v=ARAWlmlgPbg&amp;pp=ygUNREIgU2lkZSBCZW5kcw%3D%3D" TargetMode="External"/><Relationship Id="rId585" Type="http://schemas.openxmlformats.org/officeDocument/2006/relationships/hyperlink" Target="https://www.youtube.com/watch?v=sZQwv0HzinU&amp;pp=ygUbTWFjaGluZSBEZWNsaW5lIENoZXN0IFByZXNz" TargetMode="External"/><Relationship Id="rId1178" Type="http://schemas.openxmlformats.org/officeDocument/2006/relationships/hyperlink" Target="https://youtu.be/egQiO0K-BEw" TargetMode="External"/><Relationship Id="rId100" Type="http://schemas.openxmlformats.org/officeDocument/2006/relationships/hyperlink" Target="https://www.youtube.com/watch?v=0pTBkUPuMkk" TargetMode="External"/><Relationship Id="rId342" Type="http://schemas.openxmlformats.org/officeDocument/2006/relationships/hyperlink" Target="https://www.youtube.com/watch?v=cJRVVxmytaM&amp;pp=ygUIREIgU2hydWc%3D" TargetMode="External"/><Relationship Id="rId584" Type="http://schemas.openxmlformats.org/officeDocument/2006/relationships/hyperlink" Target="https://www.youtube.com/watch?v=_FrrYQxA6kc&amp;pp=ygUbTWFjaGluZSBDaGVzdCBTdXBwb3J0ZWQgUm93" TargetMode="External"/><Relationship Id="rId1179" Type="http://schemas.openxmlformats.org/officeDocument/2006/relationships/hyperlink" Target="https://youtu.be/AQY4bL7MJKI" TargetMode="External"/><Relationship Id="rId1169" Type="http://schemas.openxmlformats.org/officeDocument/2006/relationships/hyperlink" Target="https://youtu.be/huwqkE9b6wE" TargetMode="External"/><Relationship Id="rId338" Type="http://schemas.openxmlformats.org/officeDocument/2006/relationships/hyperlink" Target="https://www.youtube.com/watch?v=hQgFixeXdZo&amp;pp=ygUGREIgUkRM" TargetMode="External"/><Relationship Id="rId337" Type="http://schemas.openxmlformats.org/officeDocument/2006/relationships/hyperlink" Target="https://www.youtube.com/watch?v=FK4rHfWKEac&amp;pp=ygUMREIgUHVsbG92ZXJz" TargetMode="External"/><Relationship Id="rId579" Type="http://schemas.openxmlformats.org/officeDocument/2006/relationships/hyperlink" Target="https://www.youtube.com/watch?v=wFj808u2HWU&amp;pp=ygUYTWFjaGluZSBBc3Npc3RlZCBQdWxsLVVw" TargetMode="External"/><Relationship Id="rId336" Type="http://schemas.openxmlformats.org/officeDocument/2006/relationships/hyperlink" Target="https://www.youtube.com/watch?v=PcDvVDIxvto&amp;pp=ygUNREIgTGVnIFJhaXNlcw%3D%3D" TargetMode="External"/><Relationship Id="rId578" Type="http://schemas.openxmlformats.org/officeDocument/2006/relationships/hyperlink" Target="https://www.youtube.com/watch?v=OjQvJt4sn2Y&amp;pp=ygUoTWFjaGluZSBBc3Npc3RlZCBEaXBzIChUcmljZXBzIFZhcmlhdGlvbg%3D%3D" TargetMode="External"/><Relationship Id="rId335" Type="http://schemas.openxmlformats.org/officeDocument/2006/relationships/hyperlink" Target="https://www.youtube.com/watch?v=XPPfnSEATJA&amp;pp=ygUQREIgTGF0ZXJhbCBSYWlzZQ%3D%3D" TargetMode="External"/><Relationship Id="rId577" Type="http://schemas.openxmlformats.org/officeDocument/2006/relationships/hyperlink" Target="https://www.youtube.com/watch?v=yN6Q1UI_xkE&amp;pp=ygUmTWFjaGluZSBBc3Npc3RlZCBEaXAgKENoZXN0IFZhcmlhdGlvbik%3D" TargetMode="External"/><Relationship Id="rId339" Type="http://schemas.openxmlformats.org/officeDocument/2006/relationships/hyperlink" Target="https://www.youtube.com/watch?v=JoCRRZ3zRtI&amp;pp=ygUPREIgUmV2ZXJzZSBGbHlz" TargetMode="External"/><Relationship Id="rId1160" Type="http://schemas.openxmlformats.org/officeDocument/2006/relationships/hyperlink" Target="https://youtu.be/NCCyBaxKJeA" TargetMode="External"/><Relationship Id="rId330" Type="http://schemas.openxmlformats.org/officeDocument/2006/relationships/hyperlink" Target="https://www.youtube.com/watch?v=x6nEPnQ37FQ&amp;pp=ygUUREIgSW5jbGluZSBCZW5jaCBSb3c%3D" TargetMode="External"/><Relationship Id="rId572" Type="http://schemas.openxmlformats.org/officeDocument/2006/relationships/hyperlink" Target="https://www.youtube.com/watch?v=OOQiQ_mYWoo&amp;pp=ygUjTHlpbmcgQWx0ZXJuYXRpbmcgVHJpY2VwIEV4dGVuc2lvbnM%3D" TargetMode="External"/><Relationship Id="rId1161" Type="http://schemas.openxmlformats.org/officeDocument/2006/relationships/hyperlink" Target="https://youtu.be/qEGBq6uW8DA" TargetMode="External"/><Relationship Id="rId571" Type="http://schemas.openxmlformats.org/officeDocument/2006/relationships/hyperlink" Target="https://www.youtube.com/watch?v=-v2xs6a2JnM&amp;pp=ygUUTG93IFBsYW5rIEhpcCBUd2lzdHM%3D" TargetMode="External"/><Relationship Id="rId1162" Type="http://schemas.openxmlformats.org/officeDocument/2006/relationships/hyperlink" Target="https://youtu.be/1ar0g-ztdVg" TargetMode="External"/><Relationship Id="rId570" Type="http://schemas.openxmlformats.org/officeDocument/2006/relationships/hyperlink" Target="https://www.youtube.com/watch?v=XM96fe7jAXE&amp;pp=ygUQTG9uZy1MZXZlciBQbGFuaw%3D%3D" TargetMode="External"/><Relationship Id="rId1163" Type="http://schemas.openxmlformats.org/officeDocument/2006/relationships/hyperlink" Target="https://youtu.be/Y2UIv-e6vgE" TargetMode="External"/><Relationship Id="rId1164" Type="http://schemas.openxmlformats.org/officeDocument/2006/relationships/hyperlink" Target="https://youtu.be/7SQeaqVHvwQ" TargetMode="External"/><Relationship Id="rId334" Type="http://schemas.openxmlformats.org/officeDocument/2006/relationships/hyperlink" Target="https://www.youtube.com/watch?v=osHzkwG-9JE&amp;pp=ygUZREIgSW5jbGluZSBTa3VsbCBDcnVzaGVycw%3D%3D" TargetMode="External"/><Relationship Id="rId576" Type="http://schemas.openxmlformats.org/officeDocument/2006/relationships/hyperlink" Target="https://www.youtube.com/watch?v=y00_rMYk1Oc&amp;pp=ygUYTWFjaGluZSBBc3Npc3RlZCBDaGluLVVw" TargetMode="External"/><Relationship Id="rId1165" Type="http://schemas.openxmlformats.org/officeDocument/2006/relationships/hyperlink" Target="https://youtu.be/xboGjaMzIkk" TargetMode="External"/><Relationship Id="rId333" Type="http://schemas.openxmlformats.org/officeDocument/2006/relationships/hyperlink" Target="https://www.youtube.com/watch?v=cbRSu8Ws_hs&amp;pp=ygUXREIgSW5jbGluZSBIYW1tZXIgQ3VybHM%3D" TargetMode="External"/><Relationship Id="rId575" Type="http://schemas.openxmlformats.org/officeDocument/2006/relationships/hyperlink" Target="https://www.youtube.com/watch?v=fuPFq2EYswE&amp;pp=ygURTWFjaGluZSBBYiBDcnVuY2g%3D" TargetMode="External"/><Relationship Id="rId1166" Type="http://schemas.openxmlformats.org/officeDocument/2006/relationships/hyperlink" Target="https://youtu.be/iS4K0puAFdQ" TargetMode="External"/><Relationship Id="rId332" Type="http://schemas.openxmlformats.org/officeDocument/2006/relationships/hyperlink" Target="https://www.youtube.com/watch?v=8iPEnn-ltC8&amp;pp=ygUWREIgSW5jbGluZSBDaGVzdCBQcmVzcw%3D%3D" TargetMode="External"/><Relationship Id="rId574" Type="http://schemas.openxmlformats.org/officeDocument/2006/relationships/hyperlink" Target="https://www.youtube.com/watch?v=vl5nUdE9mWM&amp;pp=ygUUTHlpbmcgSGFtc3RyaW5nIEN1cmw%3D" TargetMode="External"/><Relationship Id="rId1167" Type="http://schemas.openxmlformats.org/officeDocument/2006/relationships/hyperlink" Target="https://youtu.be/YO87HFVgsGo" TargetMode="External"/><Relationship Id="rId331" Type="http://schemas.openxmlformats.org/officeDocument/2006/relationships/hyperlink" Target="https://www.youtube.com/watch?v=soxrZlIl35U&amp;pp=ygUWREIgSW5jbGluZSBCaWNlcCBDdXJscw%3D%3D" TargetMode="External"/><Relationship Id="rId573" Type="http://schemas.openxmlformats.org/officeDocument/2006/relationships/hyperlink" Target="https://www.youtube.com/watch?v=MO_03opCc0g&amp;pp=ygUgTHlpbmcgRHVtYmJlbGwgVHJpY2VwcyBFeHRlbnNpb24%3D" TargetMode="External"/><Relationship Id="rId1168" Type="http://schemas.openxmlformats.org/officeDocument/2006/relationships/hyperlink" Target="https://youtu.be/opkGhc45tmY" TargetMode="External"/><Relationship Id="rId370" Type="http://schemas.openxmlformats.org/officeDocument/2006/relationships/hyperlink" Target="https://www.youtube.com/watch?v=b_T7odhetFk&amp;pp=ygUaRHVjayBXYWxrIEZvcndhcmQgYW5kIEJhY2s%3D" TargetMode="External"/><Relationship Id="rId129" Type="http://schemas.openxmlformats.org/officeDocument/2006/relationships/hyperlink" Target="https://www.youtube.com/watch?v=gslEzVggur8" TargetMode="External"/><Relationship Id="rId128" Type="http://schemas.openxmlformats.org/officeDocument/2006/relationships/hyperlink" Target="https://www.youtube.com/watch?v=ydJEnuvvgNU" TargetMode="External"/><Relationship Id="rId127" Type="http://schemas.openxmlformats.org/officeDocument/2006/relationships/hyperlink" Target="https://www.youtube.com/watch?v=r1jukGZPnZI" TargetMode="External"/><Relationship Id="rId369" Type="http://schemas.openxmlformats.org/officeDocument/2006/relationships/hyperlink" Target="https://www.youtube.com/watch?v=voJ1KrwEIcc&amp;pp=ygULRHJvcCBTcXVhdHM%3D" TargetMode="External"/><Relationship Id="rId126" Type="http://schemas.openxmlformats.org/officeDocument/2006/relationships/hyperlink" Target="https://www.youtube.com/watch?v=L3ntiAhV3Zs" TargetMode="External"/><Relationship Id="rId368" Type="http://schemas.openxmlformats.org/officeDocument/2006/relationships/hyperlink" Target="https://www.youtube.com/watch?v=BjBmtkfy1-0&amp;pp=ygUKRHJhZyBDdXJscw%3D%3D" TargetMode="External"/><Relationship Id="rId1190" Type="http://schemas.openxmlformats.org/officeDocument/2006/relationships/hyperlink" Target="https://youtu.be/4wOc_mGWi00" TargetMode="External"/><Relationship Id="rId1191" Type="http://schemas.openxmlformats.org/officeDocument/2006/relationships/hyperlink" Target="https://youtu.be/m0FOpMEgero" TargetMode="External"/><Relationship Id="rId1192" Type="http://schemas.openxmlformats.org/officeDocument/2006/relationships/hyperlink" Target="https://youtu.be/SkEzWAyzxJI" TargetMode="External"/><Relationship Id="rId1193" Type="http://schemas.openxmlformats.org/officeDocument/2006/relationships/hyperlink" Target="https://youtu.be/4RrsARGxGGU" TargetMode="External"/><Relationship Id="rId121" Type="http://schemas.openxmlformats.org/officeDocument/2006/relationships/hyperlink" Target="https://www.youtube.com/watch?v=nRgxYX2Ve9w" TargetMode="External"/><Relationship Id="rId363" Type="http://schemas.openxmlformats.org/officeDocument/2006/relationships/hyperlink" Target="https://www.youtube.com/watch?v=V5JLXeNGvhg&amp;pp=ygUQRG9scGhpbiBQdXNoIFVwcw%3D%3D" TargetMode="External"/><Relationship Id="rId1194" Type="http://schemas.openxmlformats.org/officeDocument/2006/relationships/hyperlink" Target="https://youtu.be/WJBLYq5vREI" TargetMode="External"/><Relationship Id="rId120" Type="http://schemas.openxmlformats.org/officeDocument/2006/relationships/hyperlink" Target="https://www.youtube.com/watch?v=6BqR5996pcE" TargetMode="External"/><Relationship Id="rId362" Type="http://schemas.openxmlformats.org/officeDocument/2006/relationships/hyperlink" Target="https://www.youtube.com/watch?v=2z8JmcrW-As&amp;pp=ygUERGlwcw%3D%3D" TargetMode="External"/><Relationship Id="rId1195" Type="http://schemas.openxmlformats.org/officeDocument/2006/relationships/hyperlink" Target="https://youtu.be/AQY4bL7MJKI" TargetMode="External"/><Relationship Id="rId361" Type="http://schemas.openxmlformats.org/officeDocument/2006/relationships/hyperlink" Target="https://www.youtube.com/watch?v=J0DnG1_S92I&amp;pp=ygUPRGlhbW9uZCBQdXNoLXVw" TargetMode="External"/><Relationship Id="rId1196" Type="http://schemas.openxmlformats.org/officeDocument/2006/relationships/hyperlink" Target="https://youtu.be/-27Ofi_wMFc" TargetMode="External"/><Relationship Id="rId360" Type="http://schemas.openxmlformats.org/officeDocument/2006/relationships/hyperlink" Target="https://www.youtube.com/watch?v=q4ogzEdb3sI&amp;pp=ygUbRGVwdGggRHJvcCBUbyBWZXJ0aWNhbCBKdW1w" TargetMode="External"/><Relationship Id="rId1197" Type="http://schemas.openxmlformats.org/officeDocument/2006/relationships/hyperlink" Target="https://youtu.be/H88Ip-MUWn0" TargetMode="External"/><Relationship Id="rId125" Type="http://schemas.openxmlformats.org/officeDocument/2006/relationships/hyperlink" Target="https://www.youtube.com/watch?v=gTrlbuuMufQ" TargetMode="External"/><Relationship Id="rId367" Type="http://schemas.openxmlformats.org/officeDocument/2006/relationships/hyperlink" Target="https://www.youtube.com/watch?v=1qQ_ZqdIMzA&amp;pp=ygUoRG93bndhcmQgRG9nIHRvIFdvcmxkJ3MgR3JlYXRlc3QgU3RyZXRjaA%3D%3D" TargetMode="External"/><Relationship Id="rId1198" Type="http://schemas.openxmlformats.org/officeDocument/2006/relationships/hyperlink" Target="https://youtu.be/EydHbpLCZJo" TargetMode="External"/><Relationship Id="rId124" Type="http://schemas.openxmlformats.org/officeDocument/2006/relationships/hyperlink" Target="https://www.youtube.com/watch?v=NAqCVe2mwzM" TargetMode="External"/><Relationship Id="rId366" Type="http://schemas.openxmlformats.org/officeDocument/2006/relationships/hyperlink" Target="https://www.youtube.com/watch?v=82jNjDS19lg&amp;pp=ygUMRG91YmxlIFVuZGVy" TargetMode="External"/><Relationship Id="rId1199" Type="http://schemas.openxmlformats.org/officeDocument/2006/relationships/hyperlink" Target="https://youtu.be/m1w4h6xFivQ" TargetMode="External"/><Relationship Id="rId123" Type="http://schemas.openxmlformats.org/officeDocument/2006/relationships/hyperlink" Target="https://www.youtube.com/watch?v=oBGeXxnigsQ" TargetMode="External"/><Relationship Id="rId365" Type="http://schemas.openxmlformats.org/officeDocument/2006/relationships/hyperlink" Target="https://www.youtube.com/watch?v=99GbmjyajY8&amp;pp=ygUWRG91YmxlIER1bWJiZWxsIFN3aW5ncw%3D%3D" TargetMode="External"/><Relationship Id="rId122" Type="http://schemas.openxmlformats.org/officeDocument/2006/relationships/hyperlink" Target="https://www.youtube.com/watch?v=5rIqP63yWFg" TargetMode="External"/><Relationship Id="rId364" Type="http://schemas.openxmlformats.org/officeDocument/2006/relationships/hyperlink" Target="https://www.youtube.com/watch?v=2XYP2gbYN3A&amp;pp=ygUYRG91YmxlIEJvdW5jZSBIaWdoIEtuZWVz" TargetMode="External"/><Relationship Id="rId95" Type="http://schemas.openxmlformats.org/officeDocument/2006/relationships/hyperlink" Target="https://www.youtube.com/watch?v=Zp26q4BY5HE" TargetMode="External"/><Relationship Id="rId94" Type="http://schemas.openxmlformats.org/officeDocument/2006/relationships/hyperlink" Target="https://www.youtube.com/watch?v=ylpfCk3i-0Y" TargetMode="External"/><Relationship Id="rId97" Type="http://schemas.openxmlformats.org/officeDocument/2006/relationships/hyperlink" Target="https://www.youtube.com/watch?v=KXjNfZZ0SDY" TargetMode="External"/><Relationship Id="rId96" Type="http://schemas.openxmlformats.org/officeDocument/2006/relationships/hyperlink" Target="https://www.youtube.com/watch?v=SrqOu55lrYU" TargetMode="External"/><Relationship Id="rId99" Type="http://schemas.openxmlformats.org/officeDocument/2006/relationships/hyperlink" Target="https://www.youtube.com/watch?v=rZcWkXEOKGI" TargetMode="External"/><Relationship Id="rId98" Type="http://schemas.openxmlformats.org/officeDocument/2006/relationships/hyperlink" Target="https://www.youtube.com/watch?v=ceBWWifK11M" TargetMode="External"/><Relationship Id="rId91" Type="http://schemas.openxmlformats.org/officeDocument/2006/relationships/hyperlink" Target="https://www.youtube.com/watch?v=nfkphUz7qVk" TargetMode="External"/><Relationship Id="rId90" Type="http://schemas.openxmlformats.org/officeDocument/2006/relationships/hyperlink" Target="https://www.youtube.com/watch?v=VfBOBhwXbro&amp;pp=ygUTQmFyYmVsbCBGcm9udCBTcXVhdA%3D%3D" TargetMode="External"/><Relationship Id="rId93" Type="http://schemas.openxmlformats.org/officeDocument/2006/relationships/hyperlink" Target="https://www.youtube.com/watch?v=nbjJjSa0cKo" TargetMode="External"/><Relationship Id="rId92" Type="http://schemas.openxmlformats.org/officeDocument/2006/relationships/hyperlink" Target="https://www.youtube.com/watch?v=RbMi6CQfGkk" TargetMode="External"/><Relationship Id="rId118" Type="http://schemas.openxmlformats.org/officeDocument/2006/relationships/hyperlink" Target="https://www.youtube.com/watch?v=W32gBdbEeoU" TargetMode="External"/><Relationship Id="rId117" Type="http://schemas.openxmlformats.org/officeDocument/2006/relationships/hyperlink" Target="https://www.youtube.com/watch?v=3gdGSSgDby8" TargetMode="External"/><Relationship Id="rId359" Type="http://schemas.openxmlformats.org/officeDocument/2006/relationships/hyperlink" Target="https://www.youtube.com/watch?v=drLJzzzhepE&amp;pp=ygUKRGVwdGggRHJvcA%3D%3D" TargetMode="External"/><Relationship Id="rId116" Type="http://schemas.openxmlformats.org/officeDocument/2006/relationships/hyperlink" Target="https://www.youtube.com/watch?v=W32gBdbEeoU" TargetMode="External"/><Relationship Id="rId358" Type="http://schemas.openxmlformats.org/officeDocument/2006/relationships/hyperlink" Target="https://www.youtube.com/watch?v=W0wZ-yk6WR4&amp;pp=ygUVRGVmaWNpdCBSZXZlcnNlIEx1bmdl" TargetMode="External"/><Relationship Id="rId115" Type="http://schemas.openxmlformats.org/officeDocument/2006/relationships/hyperlink" Target="https://www.youtube.com/watch?v=uvhnpOjDye8" TargetMode="External"/><Relationship Id="rId357" Type="http://schemas.openxmlformats.org/officeDocument/2006/relationships/hyperlink" Target="https://www.youtube.com/watch?v=H-T1kqSpecM&amp;pp=ygUVRGVlcCBTcXVhdCB3aXRoIFJlYWNo" TargetMode="External"/><Relationship Id="rId599" Type="http://schemas.openxmlformats.org/officeDocument/2006/relationships/hyperlink" Target="https://www.youtube.com/watch?v=6cHY60y7QRU&amp;pp=ygUcTWFjaGluZSBQZWMgRGVjayBSZXZlcnNlIEZseQ%3D%3D" TargetMode="External"/><Relationship Id="rId1180" Type="http://schemas.openxmlformats.org/officeDocument/2006/relationships/hyperlink" Target="https://youtu.be/PK3j62cIjqQ" TargetMode="External"/><Relationship Id="rId1181" Type="http://schemas.openxmlformats.org/officeDocument/2006/relationships/hyperlink" Target="https://youtu.be/H8cnwdmhkto" TargetMode="External"/><Relationship Id="rId119" Type="http://schemas.openxmlformats.org/officeDocument/2006/relationships/hyperlink" Target="https://www.youtube.com/watch?v=U5Q5HfUyy78" TargetMode="External"/><Relationship Id="rId1182" Type="http://schemas.openxmlformats.org/officeDocument/2006/relationships/hyperlink" Target="https://youtu.be/wxwY7GXxL4k" TargetMode="External"/><Relationship Id="rId110" Type="http://schemas.openxmlformats.org/officeDocument/2006/relationships/hyperlink" Target="https://www.youtube.com/watch?v=pDTHSnoGoEc" TargetMode="External"/><Relationship Id="rId352" Type="http://schemas.openxmlformats.org/officeDocument/2006/relationships/hyperlink" Target="https://www.youtube.com/watch?v=HvHJM-kNiA0&amp;pp=ygUPRGVhZG1pbGwgU3ByaW50" TargetMode="External"/><Relationship Id="rId594" Type="http://schemas.openxmlformats.org/officeDocument/2006/relationships/hyperlink" Target="https://www.youtube.com/watch?v=5xR8tvg4-yM&amp;pp=ygUXTWFjaGluZSBMYXlpbmcgTGVnIEN1cmw%3D" TargetMode="External"/><Relationship Id="rId1183" Type="http://schemas.openxmlformats.org/officeDocument/2006/relationships/hyperlink" Target="https://youtu.be/9aA0-FbxK9E" TargetMode="External"/><Relationship Id="rId351" Type="http://schemas.openxmlformats.org/officeDocument/2006/relationships/hyperlink" Target="https://www.youtube.com/watch?v=W3u6KQG_S-I&amp;pp=ygUaRGVhZGxpZnQgdG8gQ2xlYW4gdG8gU3F1YXQ%3D" TargetMode="External"/><Relationship Id="rId593" Type="http://schemas.openxmlformats.org/officeDocument/2006/relationships/hyperlink" Target="https://www.youtube.com/watch?v=0FUpcwj_1z4&amp;pp=ygUVTWFjaGluZSBMYXRlcmFsIFJhaXNl" TargetMode="External"/><Relationship Id="rId1184" Type="http://schemas.openxmlformats.org/officeDocument/2006/relationships/hyperlink" Target="https://youtu.be/SiC6ViOX1Uw" TargetMode="External"/><Relationship Id="rId350" Type="http://schemas.openxmlformats.org/officeDocument/2006/relationships/hyperlink" Target="https://www.youtube.com/watch?v=uBOHgf_xIXU&amp;pp=ygUIRGVhZGxpZnQ%3D" TargetMode="External"/><Relationship Id="rId592" Type="http://schemas.openxmlformats.org/officeDocument/2006/relationships/hyperlink" Target="https://www.youtube.com/watch?v=kwJeh3QyhVE&amp;pp=ygUVTWFjaGluZSBMYXQgUHVsbC1kb3du" TargetMode="External"/><Relationship Id="rId1185" Type="http://schemas.openxmlformats.org/officeDocument/2006/relationships/hyperlink" Target="https://youtu.be/Pxkw6dUt_Ok" TargetMode="External"/><Relationship Id="rId591" Type="http://schemas.openxmlformats.org/officeDocument/2006/relationships/hyperlink" Target="https://www.youtube.com/watch?v=W5UqY9SRhBM&amp;pp=ygUPTWFjaGluZSBJc28gUm93" TargetMode="External"/><Relationship Id="rId1186" Type="http://schemas.openxmlformats.org/officeDocument/2006/relationships/hyperlink" Target="https://youtu.be/JJFSnqwlVv0" TargetMode="External"/><Relationship Id="rId114" Type="http://schemas.openxmlformats.org/officeDocument/2006/relationships/hyperlink" Target="https://www.youtube.com/watch?v=5rIqP63yWFg" TargetMode="External"/><Relationship Id="rId356" Type="http://schemas.openxmlformats.org/officeDocument/2006/relationships/hyperlink" Target="https://www.youtube.com/watch?v=zkj-1XvAcKM&amp;pp=ygUXRGVlcCBTcXVhdCBXYWxsIFN0cmV0Y2g%3D" TargetMode="External"/><Relationship Id="rId598" Type="http://schemas.openxmlformats.org/officeDocument/2006/relationships/hyperlink" Target="https://www.youtube.com/watch?v=eGjt4lk6g34&amp;pp=ygUaTWFjaGluZSBQZWMgRGVjayBDaGVzdCBGbHk%3D" TargetMode="External"/><Relationship Id="rId1187" Type="http://schemas.openxmlformats.org/officeDocument/2006/relationships/hyperlink" Target="https://youtu.be/N6t2Fv0SKGc" TargetMode="External"/><Relationship Id="rId113" Type="http://schemas.openxmlformats.org/officeDocument/2006/relationships/hyperlink" Target="https://www.youtube.com/watch?v=iaBVSJm78ko" TargetMode="External"/><Relationship Id="rId355" Type="http://schemas.openxmlformats.org/officeDocument/2006/relationships/hyperlink" Target="https://www.youtube.com/watch?v=1oQSsXhbhjk&amp;pp=ygUfRGVlcCBTcXVhdCB0byBIYW1zdHJpbmcgU3RyZXRjaA%3D%3D" TargetMode="External"/><Relationship Id="rId597" Type="http://schemas.openxmlformats.org/officeDocument/2006/relationships/hyperlink" Target="https://www.youtube.com/watch?v=IZxyjW7MPJQ&amp;pp=ygURTWFjaGluZSBMZWcgUHJlc3M%3D" TargetMode="External"/><Relationship Id="rId1188" Type="http://schemas.openxmlformats.org/officeDocument/2006/relationships/hyperlink" Target="https://youtu.be/BI7wrB3Crsc" TargetMode="External"/><Relationship Id="rId112" Type="http://schemas.openxmlformats.org/officeDocument/2006/relationships/hyperlink" Target="https://www.youtube.com/watch?v=Gydpcouclx8" TargetMode="External"/><Relationship Id="rId354" Type="http://schemas.openxmlformats.org/officeDocument/2006/relationships/hyperlink" Target="https://www.youtube.com/watch?v=CpwvQT8axGk&amp;pp=ygU0RGVlcCBOZWNrIEZsZXhvciBBY3RpdmF0aW9uIGFuZCBTdWJvY2NpcGl0YWwgU3RyZXRjaA%3D%3D" TargetMode="External"/><Relationship Id="rId596" Type="http://schemas.openxmlformats.org/officeDocument/2006/relationships/hyperlink" Target="https://www.youtube.com/watch?v=h5NievMGthk&amp;pp=ygUZTWFjaGluZSBMZWcgQ3VybCAoU2luZ2xlKQ%3D%3D" TargetMode="External"/><Relationship Id="rId1189" Type="http://schemas.openxmlformats.org/officeDocument/2006/relationships/hyperlink" Target="https://youtu.be/Zp26q4BY5HE" TargetMode="External"/><Relationship Id="rId111" Type="http://schemas.openxmlformats.org/officeDocument/2006/relationships/hyperlink" Target="https://www.youtube.com/watch?v=96NFt3oTvpI" TargetMode="External"/><Relationship Id="rId353" Type="http://schemas.openxmlformats.org/officeDocument/2006/relationships/hyperlink" Target="https://www.youtube.com/watch?v=SKPab2YC8BE&amp;pp=ygUPRGVjbGluZSBQdXNoIFVw" TargetMode="External"/><Relationship Id="rId595" Type="http://schemas.openxmlformats.org/officeDocument/2006/relationships/hyperlink" Target="https://www.youtube.com/watch?v=VFk3RzndUEc&amp;pp=ygUYTWFjaGluZSBMYXlpbmcgTGVnIFByZXNz" TargetMode="External"/><Relationship Id="rId1136" Type="http://schemas.openxmlformats.org/officeDocument/2006/relationships/hyperlink" Target="https://youtu.be/sgd8n917Zv0" TargetMode="External"/><Relationship Id="rId1137" Type="http://schemas.openxmlformats.org/officeDocument/2006/relationships/hyperlink" Target="https://youtu.be/T-XN-RpGMEw" TargetMode="External"/><Relationship Id="rId1138" Type="http://schemas.openxmlformats.org/officeDocument/2006/relationships/hyperlink" Target="https://youtu.be/E6LOhIP3i1c" TargetMode="External"/><Relationship Id="rId1139" Type="http://schemas.openxmlformats.org/officeDocument/2006/relationships/hyperlink" Target="https://youtu.be/2wQU1Klfc6U" TargetMode="External"/><Relationship Id="rId305" Type="http://schemas.openxmlformats.org/officeDocument/2006/relationships/hyperlink" Target="https://www.youtube.com/watch?v=TctfJadtxq0&amp;pp=ygUhQ3Jvc3MgQm9keSBDYWJsZSBUcmljZXAgRXh0ZW5zaW9u" TargetMode="External"/><Relationship Id="rId547" Type="http://schemas.openxmlformats.org/officeDocument/2006/relationships/hyperlink" Target="https://www.youtube.com/watch?v=s70b_r3heMs&amp;pp=ygUWTGFuZG1pbmUgUmV2ZXJzZSBMdW5nZQ%3D%3D" TargetMode="External"/><Relationship Id="rId789" Type="http://schemas.openxmlformats.org/officeDocument/2006/relationships/hyperlink" Target="https://www.youtube.com/watch?v=2E6psSHltl4&amp;pp=ygUXU2VhdGVkIFBsYXRlIExvYWRlZCBSb3c%3D" TargetMode="External"/><Relationship Id="rId304" Type="http://schemas.openxmlformats.org/officeDocument/2006/relationships/hyperlink" Target="https://www.youtube.com/watch?v=lF1vpdVQsUU&amp;pp=ygUZQ3Jpc3MgQ3Jvc3MgSnVtcGluZyBKYWNrcw%3D%3D" TargetMode="External"/><Relationship Id="rId546" Type="http://schemas.openxmlformats.org/officeDocument/2006/relationships/hyperlink" Target="https://www.youtube.com/watch?v=cIYWlhhroVA&amp;pp=ygUMTGFuZG1pbmUgUkRM" TargetMode="External"/><Relationship Id="rId788" Type="http://schemas.openxmlformats.org/officeDocument/2006/relationships/hyperlink" Target="https://www.youtube.com/watch?v=YbX7Wd8jQ-Q&amp;pp=ygUgU2VhdGVkIE92ZXJoZWFkIFRyaWNlcCBFeHRlbnNpb24%3D" TargetMode="External"/><Relationship Id="rId303" Type="http://schemas.openxmlformats.org/officeDocument/2006/relationships/hyperlink" Target="https://www.youtube.com/watch?v=fHKndvWwenc&amp;pp=ygUNQ291Y2ggU3RyZXRjaA%3D%3D" TargetMode="External"/><Relationship Id="rId545" Type="http://schemas.openxmlformats.org/officeDocument/2006/relationships/hyperlink" Target="https://www.youtube.com/watch?v=911qQuwcEMQ&amp;pp=ygUQTGFuZG1pbmUgUmFpbmJvdw%3D%3D" TargetMode="External"/><Relationship Id="rId787" Type="http://schemas.openxmlformats.org/officeDocument/2006/relationships/hyperlink" Target="https://www.youtube.com/watch?v=oBGeXxnigsQ&amp;pp=ygUVU2VhdGVkIE92ZXJoZWFkIFByZXNz" TargetMode="External"/><Relationship Id="rId302" Type="http://schemas.openxmlformats.org/officeDocument/2006/relationships/hyperlink" Target="https://www.youtube.com/watch?v=dhDjKmTX8tU&amp;pp=ygUNQ29zc2FjayBTcXVhdA%3D%3D" TargetMode="External"/><Relationship Id="rId544" Type="http://schemas.openxmlformats.org/officeDocument/2006/relationships/hyperlink" Target="https://www.youtube.com/watch?v=nDBKgITcI3I&amp;pp=ygUOTGFuZG1pbmUgUHJlc3M%3D" TargetMode="External"/><Relationship Id="rId786" Type="http://schemas.openxmlformats.org/officeDocument/2006/relationships/hyperlink" Target="https://www.youtube.com/watch?v=4ZDm5EbiFI8&amp;pp=ygUUU2VhdGVkIExlZyBFeHRlbnNpb24%3D" TargetMode="External"/><Relationship Id="rId309" Type="http://schemas.openxmlformats.org/officeDocument/2006/relationships/hyperlink" Target="https://www.youtube.com/shorts/CfjLu7GB938" TargetMode="External"/><Relationship Id="rId308" Type="http://schemas.openxmlformats.org/officeDocument/2006/relationships/hyperlink" Target="https://www.youtube.com/watch?v=ToSAFXPU6Z4&amp;pp=ygUbQ3Jvc3MtQm9keSBMYXQgTW9iaWxpemF0aW9u" TargetMode="External"/><Relationship Id="rId307" Type="http://schemas.openxmlformats.org/officeDocument/2006/relationships/hyperlink" Target="https://www.youtube.com/watch?v=xCazgyElCpg&amp;pp=ygUVQ3Jvc3MgSnVtcCBUb3VjaCBEb3du" TargetMode="External"/><Relationship Id="rId549" Type="http://schemas.openxmlformats.org/officeDocument/2006/relationships/hyperlink" Target="https://www.youtube.com/watch?v=jLvQenjeus8&amp;pp=ygURTGFuZG1pbmUgVGhydXN0ZXI%3D" TargetMode="External"/><Relationship Id="rId306" Type="http://schemas.openxmlformats.org/officeDocument/2006/relationships/hyperlink" Target="https://www.youtube.com/watch?v=_eK01SNwob0&amp;pp=ygUSQ3Jvc3MgQm9keSBTaXQtVXBz" TargetMode="External"/><Relationship Id="rId548" Type="http://schemas.openxmlformats.org/officeDocument/2006/relationships/hyperlink" Target="https://www.youtube.com/watch?v=t9GuiNQo1O4&amp;pp=ygUXTGFuZG1pbmUgU2hvdWxkZXIgUHJlc3M%3D" TargetMode="External"/><Relationship Id="rId781" Type="http://schemas.openxmlformats.org/officeDocument/2006/relationships/hyperlink" Target="https://www.youtube.com/watch?v=qEwKCR5JCog&amp;pp=ygUeU2VhdGVkIER1bWJiZWxsIE92ZXJoZWFkIFByZXNz" TargetMode="External"/><Relationship Id="rId780" Type="http://schemas.openxmlformats.org/officeDocument/2006/relationships/hyperlink" Target="https://www.youtube.com/watch?v=TiG5Un0pLdA&amp;pp=ygUdU2VhdGVkIER1bWJiZWxsIExhdGVyYWwgUmFpc2U%3D" TargetMode="External"/><Relationship Id="rId1130" Type="http://schemas.openxmlformats.org/officeDocument/2006/relationships/hyperlink" Target="https://youtu.be/utTuYn6ncGE" TargetMode="External"/><Relationship Id="rId1131" Type="http://schemas.openxmlformats.org/officeDocument/2006/relationships/hyperlink" Target="https://youtu.be/0ztDNFBa0J8" TargetMode="External"/><Relationship Id="rId301" Type="http://schemas.openxmlformats.org/officeDocument/2006/relationships/hyperlink" Target="https://www.youtube.com/watch?v=hpmrK0pUVGw&amp;pp=ygUUQ29udHJhbGF0ZXJhbCBTbmF0Y2g%3D" TargetMode="External"/><Relationship Id="rId543" Type="http://schemas.openxmlformats.org/officeDocument/2006/relationships/hyperlink" Target="https://www.youtube.com/watch?v=JrtJYtUqGHE&amp;pp=ygUVTGFuZG1pbmUgR29ibGV0IFNxdWF0" TargetMode="External"/><Relationship Id="rId785" Type="http://schemas.openxmlformats.org/officeDocument/2006/relationships/hyperlink" Target="https://www.youtube.com/watch?v=3zohLHTjFH0&amp;pp=ygUUU2VhdGVkIExhdGVyYWwgUmFpc2U%3D" TargetMode="External"/><Relationship Id="rId1132" Type="http://schemas.openxmlformats.org/officeDocument/2006/relationships/hyperlink" Target="https://youtu.be/fAQwN4t-2JI" TargetMode="External"/><Relationship Id="rId300" Type="http://schemas.openxmlformats.org/officeDocument/2006/relationships/hyperlink" Target="https://www.youtube.com/watch?v=rQiTDw_NeR0&amp;pp=ygUhQ29udHJhbGF0ZXJhbCBTaW5nbGUgTGVnIERlYWRsaWZ0" TargetMode="External"/><Relationship Id="rId542" Type="http://schemas.openxmlformats.org/officeDocument/2006/relationships/hyperlink" Target="https://www.youtube.com/watch?v=7i64SnEJv6A&amp;pp=ygUUTGFuZG1pbmUgQ2hlc3QgUHJlc3M%3D" TargetMode="External"/><Relationship Id="rId784" Type="http://schemas.openxmlformats.org/officeDocument/2006/relationships/hyperlink" Target="https://www.youtube.com/watch?v=Orxowest56U&amp;pp=ygUVU2VhdGVkIEhhbXN0cmluZyBDdXJs" TargetMode="External"/><Relationship Id="rId1133" Type="http://schemas.openxmlformats.org/officeDocument/2006/relationships/hyperlink" Target="https://youtu.be/_wTnziOp_7g" TargetMode="External"/><Relationship Id="rId541" Type="http://schemas.openxmlformats.org/officeDocument/2006/relationships/hyperlink" Target="https://www.youtube.com/shorts/jgKCDwPyW2U" TargetMode="External"/><Relationship Id="rId783" Type="http://schemas.openxmlformats.org/officeDocument/2006/relationships/hyperlink" Target="https://www.youtube.com/watch?v=EnTtxL6o9WI&amp;pp=ygUQU2VhdGVkIEZhY2UgUHVsbA%3D%3D" TargetMode="External"/><Relationship Id="rId1134" Type="http://schemas.openxmlformats.org/officeDocument/2006/relationships/hyperlink" Target="https://youtu.be/vG9TWYe2XjA" TargetMode="External"/><Relationship Id="rId540" Type="http://schemas.openxmlformats.org/officeDocument/2006/relationships/hyperlink" Target="https://www.youtube.com/watch?v=PDWNs3oPCow&amp;pp=ygUXS25lZWxpbmcgT3ZlcmhlYWQgUHJlc3M%3D" TargetMode="External"/><Relationship Id="rId782" Type="http://schemas.openxmlformats.org/officeDocument/2006/relationships/hyperlink" Target="https://www.youtube.com/watch?v=qEwKCR5JCog&amp;pp=ygUeU2VhdGVkIER1bWJiZWxsIE92ZXJoZWFkIFByZXNz" TargetMode="External"/><Relationship Id="rId1135" Type="http://schemas.openxmlformats.org/officeDocument/2006/relationships/hyperlink" Target="https://youtu.be/r7oBejx1PHM" TargetMode="External"/><Relationship Id="rId1125" Type="http://schemas.openxmlformats.org/officeDocument/2006/relationships/hyperlink" Target="https://youtu.be/bjT5WC0FyiU" TargetMode="External"/><Relationship Id="rId1126" Type="http://schemas.openxmlformats.org/officeDocument/2006/relationships/hyperlink" Target="https://youtu.be/kZi0j-7rDe8" TargetMode="External"/><Relationship Id="rId1127" Type="http://schemas.openxmlformats.org/officeDocument/2006/relationships/hyperlink" Target="https://youtu.be/LXkCrxn3caQ" TargetMode="External"/><Relationship Id="rId1128" Type="http://schemas.openxmlformats.org/officeDocument/2006/relationships/hyperlink" Target="https://youtu.be/JthKLSzmuP8" TargetMode="External"/><Relationship Id="rId1129" Type="http://schemas.openxmlformats.org/officeDocument/2006/relationships/hyperlink" Target="https://youtu.be/7VdE8LAFSWQ" TargetMode="External"/><Relationship Id="rId536" Type="http://schemas.openxmlformats.org/officeDocument/2006/relationships/hyperlink" Target="https://www.youtube.com/watch?v=W3Ut2oNJ_o8&amp;pp=ygUWS25lZWxpbmcgQ29zc2FjayBTcXVhdA%3D%3D" TargetMode="External"/><Relationship Id="rId778" Type="http://schemas.openxmlformats.org/officeDocument/2006/relationships/hyperlink" Target="https://www.youtube.com/watch?v=BsULGO70tcU&amp;pp=ygUUU2VhdGVkIER1bWJiZWxsIEN1cmw%3D" TargetMode="External"/><Relationship Id="rId535" Type="http://schemas.openxmlformats.org/officeDocument/2006/relationships/hyperlink" Target="https://www.youtube.com/watch?v=knZfggvbS50&amp;pp=ygUOS25lZWxpbmcgQ2hvcHM%3D" TargetMode="External"/><Relationship Id="rId777" Type="http://schemas.openxmlformats.org/officeDocument/2006/relationships/hyperlink" Target="https://www.youtube.com/watch?v=HzIiNhHhhtA&amp;pp=ygUYU2VhdGVkIERCIE92ZXJoZWFkIFByZXNz" TargetMode="External"/><Relationship Id="rId534" Type="http://schemas.openxmlformats.org/officeDocument/2006/relationships/hyperlink" Target="https://www.youtube.com/watch?v=8kzfXDNq_P8&amp;pp=ygUNS25lZSB0byBDaGVzdA%3D%3D" TargetMode="External"/><Relationship Id="rId776" Type="http://schemas.openxmlformats.org/officeDocument/2006/relationships/hyperlink" Target="https://www.youtube.com/watch?v=xUm0BiZCWlQ&amp;pp=ygUSU2VhdGVkIENoZXN0IFByZXNz" TargetMode="External"/><Relationship Id="rId533" Type="http://schemas.openxmlformats.org/officeDocument/2006/relationships/hyperlink" Target="https://www.youtube.com/watch?v=4qPJUSczLcM&amp;pp=ygUTS25lZSBPdmVyIFRvZSBMdW5nZQ%3D%3D" TargetMode="External"/><Relationship Id="rId775" Type="http://schemas.openxmlformats.org/officeDocument/2006/relationships/hyperlink" Target="https://www.youtube.com/watch?v=W-NU8NUS8lI&amp;pp=ygURU2VhdGVkIENhbGYgUHJlc3M%3D" TargetMode="External"/><Relationship Id="rId539" Type="http://schemas.openxmlformats.org/officeDocument/2006/relationships/hyperlink" Target="https://www.youtube.com/watch?v=kzYkGZ3Aa50&amp;pp=ygURS25lZWxpbmcgTUIgQ2hvcHM%3D" TargetMode="External"/><Relationship Id="rId538" Type="http://schemas.openxmlformats.org/officeDocument/2006/relationships/hyperlink" Target="https://www.youtube.com/watch?v=knZfggvbS50&amp;pp=ygUWS25lZWxpbmcgTGlmdCBhbmQgQ2hvcA%3D%3D" TargetMode="External"/><Relationship Id="rId537" Type="http://schemas.openxmlformats.org/officeDocument/2006/relationships/hyperlink" Target="https://www.youtube.com/shorts/kPRdPr0usbY" TargetMode="External"/><Relationship Id="rId779" Type="http://schemas.openxmlformats.org/officeDocument/2006/relationships/hyperlink" Target="https://www.youtube.com/watch?v=WdssQ4YuUSA&amp;pp=ygUbU2VhdGVkIER1bWJiZWxsIEhhbW1lciBDdXJs" TargetMode="External"/><Relationship Id="rId770" Type="http://schemas.openxmlformats.org/officeDocument/2006/relationships/hyperlink" Target="https://www.youtube.com/watch?v=fxrmaUVAajo&amp;pp=ygUKU2VhbCBKYWNrcw%3D%3D" TargetMode="External"/><Relationship Id="rId1120" Type="http://schemas.openxmlformats.org/officeDocument/2006/relationships/hyperlink" Target="https://youtu.be/H40Fuq__B24" TargetMode="External"/><Relationship Id="rId532" Type="http://schemas.openxmlformats.org/officeDocument/2006/relationships/hyperlink" Target="https://www.youtube.com/watch?v=eP0DkztNhcs&amp;pp=ygUJS25lZSBIdWdz" TargetMode="External"/><Relationship Id="rId774" Type="http://schemas.openxmlformats.org/officeDocument/2006/relationships/hyperlink" Target="https://www.youtube.com/watch?v=sP_4vybjVJs&amp;pp=ygUQU2VhdGVkIENhYmxlIFJvdw%3D%3D" TargetMode="External"/><Relationship Id="rId1121" Type="http://schemas.openxmlformats.org/officeDocument/2006/relationships/hyperlink" Target="https://youtu.be/0326dy_-CzM" TargetMode="External"/><Relationship Id="rId531" Type="http://schemas.openxmlformats.org/officeDocument/2006/relationships/hyperlink" Target="https://www.youtube.com/watch?v=07XM_0jFFk8&amp;pp=ygUmS2ljayBCYWNrIHRvIEtuZWVzIHRvIEVsYm93cyBCb3RoIFdheXM%3D" TargetMode="External"/><Relationship Id="rId773" Type="http://schemas.openxmlformats.org/officeDocument/2006/relationships/hyperlink" Target="https://www.youtube.com/watch?v=tAILewhtCb0&amp;pp=ygUYU2VhdGVkIENhYmxlIENoZXN0IFByZXNz" TargetMode="External"/><Relationship Id="rId1122" Type="http://schemas.openxmlformats.org/officeDocument/2006/relationships/hyperlink" Target="https://youtu.be/uHziJVkB0v8" TargetMode="External"/><Relationship Id="rId530" Type="http://schemas.openxmlformats.org/officeDocument/2006/relationships/hyperlink" Target="https://www.youtube.com/watch?v=sgd8n917Zv0&amp;pp=ygUZS2V0dGxlYmVsbCBUdXJraXNoIEdldCBVcA%3D%3D" TargetMode="External"/><Relationship Id="rId772" Type="http://schemas.openxmlformats.org/officeDocument/2006/relationships/hyperlink" Target="https://www.youtube.com/watch?v=nP2Jab5DAds&amp;pp=ygUaU2VhdGVkIEFua2xlIERvcnNpZmxleHNpb24%3D" TargetMode="External"/><Relationship Id="rId1123" Type="http://schemas.openxmlformats.org/officeDocument/2006/relationships/hyperlink" Target="https://youtu.be/nRiJVZDpdL0" TargetMode="External"/><Relationship Id="rId771" Type="http://schemas.openxmlformats.org/officeDocument/2006/relationships/hyperlink" Target="https://www.youtube.com/watch?v=Z4fmeY-GQ8o&amp;pp=ygUhU2VhdGVkIEFsdGVybmF0aW5nIER1bWJiZWxsIFByZXNz" TargetMode="External"/><Relationship Id="rId1124" Type="http://schemas.openxmlformats.org/officeDocument/2006/relationships/hyperlink" Target="https://youtu.be/ZO81bExngMI" TargetMode="External"/><Relationship Id="rId1158" Type="http://schemas.openxmlformats.org/officeDocument/2006/relationships/hyperlink" Target="https://youtu.be/VIM9tzPgKPM" TargetMode="External"/><Relationship Id="rId1159" Type="http://schemas.openxmlformats.org/officeDocument/2006/relationships/hyperlink" Target="https://youtu.be/l7ZmX1eaXLo" TargetMode="External"/><Relationship Id="rId327" Type="http://schemas.openxmlformats.org/officeDocument/2006/relationships/hyperlink" Target="https://www.youtube.com/watch?v=FSiUH5jn3Cs&amp;pp=ygUPREIgR2x1dGUgQnJpZGdl" TargetMode="External"/><Relationship Id="rId569" Type="http://schemas.openxmlformats.org/officeDocument/2006/relationships/hyperlink" Target="https://www.youtube.com/shorts/h0CZ3xqgBsMhttps://www.youtube.com/shorts/h0CZ3xqgBsM" TargetMode="External"/><Relationship Id="rId326" Type="http://schemas.openxmlformats.org/officeDocument/2006/relationships/hyperlink" Target="https://www.youtube.com/watch?v=OFmW8Re5Zos&amp;pp=ygUcREIgRnJvbnQgRm9vdCBFbGV2YXRlZCBTcXVhdA%3D%3D" TargetMode="External"/><Relationship Id="rId568" Type="http://schemas.openxmlformats.org/officeDocument/2006/relationships/hyperlink" Target="https://www.youtube.com/watch?v=JB2oyawG9KI&amp;pp=ygUKTGVnIFJhaXNlcw%3D%3D" TargetMode="External"/><Relationship Id="rId325" Type="http://schemas.openxmlformats.org/officeDocument/2006/relationships/hyperlink" Target="https://www.youtube.com/watch?v=MQ62r2V7Lw8&amp;pp=ygUMREIgRnJvZyBQdW1w" TargetMode="External"/><Relationship Id="rId567" Type="http://schemas.openxmlformats.org/officeDocument/2006/relationships/hyperlink" Target="https://www.youtube.com/watch?v=yZmx_Ac3880&amp;pp=ygUJTGVnIFByZXNz" TargetMode="External"/><Relationship Id="rId324" Type="http://schemas.openxmlformats.org/officeDocument/2006/relationships/hyperlink" Target="https://www.youtube.com/watch?v=t7DBjlOTwAk&amp;pp=ygURREIgRm9yd2FyZCBMdW5nZXM%3D" TargetMode="External"/><Relationship Id="rId566" Type="http://schemas.openxmlformats.org/officeDocument/2006/relationships/hyperlink" Target="https://www.youtube.com/watch?v=3t9egVYlPcM&amp;pp=ygUKTGVnIExvd2Vycw%3D%3D" TargetMode="External"/><Relationship Id="rId329" Type="http://schemas.openxmlformats.org/officeDocument/2006/relationships/hyperlink" Target="https://www.youtube.com/watch?v=WCvRMULhUVU&amp;pp=ygUcREIgSW5jbGluZSBCZW5jaCBSZXZlcnNlIEZseQ%3D%3D" TargetMode="External"/><Relationship Id="rId328" Type="http://schemas.openxmlformats.org/officeDocument/2006/relationships/hyperlink" Target="https://www.youtube.com/watch?v=Xjo_fY9Hl9w&amp;pp=ygUPREIgR29ibGV0IFNxdWF0" TargetMode="External"/><Relationship Id="rId561" Type="http://schemas.openxmlformats.org/officeDocument/2006/relationships/hyperlink" Target="https://www.youtube.com/watch?v=pg4WRNkbnjA&amp;pp=ygULTGVnIENpcmNsZXM%3D" TargetMode="External"/><Relationship Id="rId1150" Type="http://schemas.openxmlformats.org/officeDocument/2006/relationships/hyperlink" Target="https://youtu.be/I34ysEkPK7w" TargetMode="External"/><Relationship Id="rId560" Type="http://schemas.openxmlformats.org/officeDocument/2006/relationships/hyperlink" Target="https://www.youtube.com/watch?v=lq7eLC30b9w&amp;pp=ygULTGVhbmluZyBZJ3M%3D" TargetMode="External"/><Relationship Id="rId1151" Type="http://schemas.openxmlformats.org/officeDocument/2006/relationships/hyperlink" Target="https://youtu.be/VBobkldqqvk" TargetMode="External"/><Relationship Id="rId1152" Type="http://schemas.openxmlformats.org/officeDocument/2006/relationships/hyperlink" Target="https://youtu.be/9Xv_5oevuqw" TargetMode="External"/><Relationship Id="rId1153" Type="http://schemas.openxmlformats.org/officeDocument/2006/relationships/hyperlink" Target="https://www.youtube.com/watch?v=GIX0suMnKxM" TargetMode="External"/><Relationship Id="rId323" Type="http://schemas.openxmlformats.org/officeDocument/2006/relationships/hyperlink" Target="https://www.youtube.com/watch?v=QsYre__-aro&amp;pp=ygUTREIgRmxhdCBDaGVzdCBQcmVzcw%3D%3D" TargetMode="External"/><Relationship Id="rId565" Type="http://schemas.openxmlformats.org/officeDocument/2006/relationships/hyperlink" Target="https://www.youtube.com/watch?v=JB2oyawG9KI&amp;pp=ygUJTGVnIExpZnRz" TargetMode="External"/><Relationship Id="rId1154" Type="http://schemas.openxmlformats.org/officeDocument/2006/relationships/hyperlink" Target="https://youtu.be/oV97EckMQlo" TargetMode="External"/><Relationship Id="rId322" Type="http://schemas.openxmlformats.org/officeDocument/2006/relationships/hyperlink" Target="https://www.youtube.com/watch?v=eozdVDA78K0&amp;pp=ygURREIgRmxhdCBDaGVzdCBGbHk%3D" TargetMode="External"/><Relationship Id="rId564" Type="http://schemas.openxmlformats.org/officeDocument/2006/relationships/hyperlink" Target="https://www.youtube.com/shorts/luADNuPcBP8" TargetMode="External"/><Relationship Id="rId1155" Type="http://schemas.openxmlformats.org/officeDocument/2006/relationships/hyperlink" Target="https://youtu.be/pvlpCSwsvBM" TargetMode="External"/><Relationship Id="rId321" Type="http://schemas.openxmlformats.org/officeDocument/2006/relationships/hyperlink" Target="https://www.youtube.com/watch?v=VBobkldqqvk&amp;pp=ygUOREIgRmFybWVyIFdhbGs%3D" TargetMode="External"/><Relationship Id="rId563" Type="http://schemas.openxmlformats.org/officeDocument/2006/relationships/hyperlink" Target="https://www.youtube.com/watch?v=YyvSfVjQeL0&amp;pp=ygUNTGVnIEV4dGVuc2lvbg%3D%3D" TargetMode="External"/><Relationship Id="rId1156" Type="http://schemas.openxmlformats.org/officeDocument/2006/relationships/hyperlink" Target="https://youtu.be/L8fvypPrzzs" TargetMode="External"/><Relationship Id="rId320" Type="http://schemas.openxmlformats.org/officeDocument/2006/relationships/hyperlink" Target="https://www.youtube.com/shorts/IfvwciB5Rwc" TargetMode="External"/><Relationship Id="rId562" Type="http://schemas.openxmlformats.org/officeDocument/2006/relationships/hyperlink" Target="https://www.youtube.com/watch?v=vO_kTH4nW7Y&amp;pp=ygUJTGVnIERyb3Bz" TargetMode="External"/><Relationship Id="rId1157" Type="http://schemas.openxmlformats.org/officeDocument/2006/relationships/hyperlink" Target="https://youtu.be/xeNEeJ7IqKQ" TargetMode="External"/><Relationship Id="rId1147" Type="http://schemas.openxmlformats.org/officeDocument/2006/relationships/hyperlink" Target="https://youtu.be/DpNwtqOwWNI" TargetMode="External"/><Relationship Id="rId1148" Type="http://schemas.openxmlformats.org/officeDocument/2006/relationships/hyperlink" Target="https://youtu.be/i3NZ8BZlXTI" TargetMode="External"/><Relationship Id="rId1149" Type="http://schemas.openxmlformats.org/officeDocument/2006/relationships/hyperlink" Target="https://youtu.be/tLz-9rvTuWY" TargetMode="External"/><Relationship Id="rId316" Type="http://schemas.openxmlformats.org/officeDocument/2006/relationships/hyperlink" Target="https://www.youtube.com/watch?v=vLuhN_glFZ8&amp;pp=ygUYREIgQnVsZ2FyaWFuIFNwbGl0IFNxdWF0" TargetMode="External"/><Relationship Id="rId558" Type="http://schemas.openxmlformats.org/officeDocument/2006/relationships/hyperlink" Target="https://www.youtube.com/watch?v=DOkR3ce3t40&amp;pp=ygUXIExhdGVyYWwgdG8gRnJvbnQgUmFpc2U%3D" TargetMode="External"/><Relationship Id="rId315" Type="http://schemas.openxmlformats.org/officeDocument/2006/relationships/hyperlink" Target="https://www.youtube.com/watch?v=SzcSrpVr0GA&amp;pp=ygUOZGIgYmVuY2ggcHJlc3M%3D" TargetMode="External"/><Relationship Id="rId557" Type="http://schemas.openxmlformats.org/officeDocument/2006/relationships/hyperlink" Target="https://www.youtube.com/watch?v=SqTLytmDy_8&amp;pp=ygUYTGF0ZXJhbCB0byBGb3J3YXJkIFJhaXNl" TargetMode="External"/><Relationship Id="rId799" Type="http://schemas.openxmlformats.org/officeDocument/2006/relationships/hyperlink" Target="https://www.youtube.com/watch?v=1Lg1TbWZUeY&amp;pp=ygUXU2VycmF0dXMgQW50ZXJpb3IgUHVuY2g%3D" TargetMode="External"/><Relationship Id="rId314" Type="http://schemas.openxmlformats.org/officeDocument/2006/relationships/hyperlink" Target="https://www.youtube.com/watch?v=cVYnf2CFO9M&amp;pp=ygUYQ3VydHNleSBMdW5nZSB3aXRoIFBhdXNl" TargetMode="External"/><Relationship Id="rId556" Type="http://schemas.openxmlformats.org/officeDocument/2006/relationships/hyperlink" Target="https://www.youtube.com/watch?v=pOmbQuGeHf8&amp;pp=ygUOTGF0ZXJhbCBSYWlzZXM%3D" TargetMode="External"/><Relationship Id="rId798" Type="http://schemas.openxmlformats.org/officeDocument/2006/relationships/hyperlink" Target="https://www.youtube.com/watch?v=jwY9A4HCl_Q&amp;pp=ygUUU2VhdGVkIHRvIFNxdWF0IEp1bXA%3D" TargetMode="External"/><Relationship Id="rId313" Type="http://schemas.openxmlformats.org/officeDocument/2006/relationships/hyperlink" Target="https://www.youtube.com/watch?v=cVYnf2CFO9M&amp;pp=ygUYQ3VydHNleSBMdW5nZSB3aXRoIFBhdXNl" TargetMode="External"/><Relationship Id="rId555" Type="http://schemas.openxmlformats.org/officeDocument/2006/relationships/hyperlink" Target="https://www.youtube.com/watch?v=gwWv7aPcD88&amp;pp=ygUNTGF0ZXJhbCBMdW5nZQ%3D%3D" TargetMode="External"/><Relationship Id="rId797" Type="http://schemas.openxmlformats.org/officeDocument/2006/relationships/hyperlink" Target="https://www.youtube.com/watch?v=9DB2kibw0os" TargetMode="External"/><Relationship Id="rId319" Type="http://schemas.openxmlformats.org/officeDocument/2006/relationships/hyperlink" Target="https://www.youtube.com/watch?v=twXorSeA0BM&amp;pp=ygUQREIgQ29zc2FjayBTcXVhdA%3D%3D" TargetMode="External"/><Relationship Id="rId318" Type="http://schemas.openxmlformats.org/officeDocument/2006/relationships/hyperlink" Target="https://www.youtube.com/watch?v=VmB1G1K7v94&amp;pp=ygUOREIgQ2hlc3QgUHJlc3M%3D" TargetMode="External"/><Relationship Id="rId317" Type="http://schemas.openxmlformats.org/officeDocument/2006/relationships/hyperlink" Target="https://www.youtube.com/watch?v=Xfe4ZqiKvnY&amp;pp=ygUNREIgQ2FsZiBSYWlzZQ%3D%3D" TargetMode="External"/><Relationship Id="rId559" Type="http://schemas.openxmlformats.org/officeDocument/2006/relationships/hyperlink" Target="https://www.youtube.com/watch?v=19w3QByPWLk&amp;pp=ygUmTGF0ZXJhbCBUd2lzdCAoU3BpbmFsIExhdGVyYWwgRmxleGlvbik%3D" TargetMode="External"/><Relationship Id="rId550" Type="http://schemas.openxmlformats.org/officeDocument/2006/relationships/hyperlink" Target="https://www.youtube.com/watch?v=izMQh1NeyRU&amp;pp=ygUXTGF0IGFuZCBUcmljZXBzIFN0cmV0Y2g%3D" TargetMode="External"/><Relationship Id="rId792" Type="http://schemas.openxmlformats.org/officeDocument/2006/relationships/hyperlink" Target="https://www.youtube.com/watch?v=oS_QPtHvgLw&amp;pp=ygUSU2VhdGVkIFJvdyBNYWNoaW5l" TargetMode="External"/><Relationship Id="rId791" Type="http://schemas.openxmlformats.org/officeDocument/2006/relationships/hyperlink" Target="https://www.youtube.com/watch?v=GZbfZ033f74&amp;pp=ygUKU2VhdGVkIFJvdw%3D%3D" TargetMode="External"/><Relationship Id="rId1140" Type="http://schemas.openxmlformats.org/officeDocument/2006/relationships/hyperlink" Target="https://www.youtube.com/watch?v=4NRFUKgNhs8" TargetMode="External"/><Relationship Id="rId790" Type="http://schemas.openxmlformats.org/officeDocument/2006/relationships/hyperlink" Target="https://www.youtube.com/watch?v=cL1HxbOBkTs&amp;pp=ygUSU2VhdGVkIFJldmVyc2UgRmx5" TargetMode="External"/><Relationship Id="rId1141" Type="http://schemas.openxmlformats.org/officeDocument/2006/relationships/hyperlink" Target="https://youtu.be/IhZLB48kluc" TargetMode="External"/><Relationship Id="rId1142" Type="http://schemas.openxmlformats.org/officeDocument/2006/relationships/hyperlink" Target="https://youtube.com/shorts/tGXIQR89-JE?feature=share" TargetMode="External"/><Relationship Id="rId312" Type="http://schemas.openxmlformats.org/officeDocument/2006/relationships/hyperlink" Target="https://www.youtube.com/watch?v=Ix_SFZVDy0I&amp;pp=ygUNQ3VydHNleSBMdW5nZQ%3D%3D" TargetMode="External"/><Relationship Id="rId554" Type="http://schemas.openxmlformats.org/officeDocument/2006/relationships/hyperlink" Target="https://www.youtube.com/watch?v=gwWv7aPcD88&amp;pp=ygUNTGF0ZXJhbCBMdW5nZQ%3D%3D" TargetMode="External"/><Relationship Id="rId796" Type="http://schemas.openxmlformats.org/officeDocument/2006/relationships/hyperlink" Target="https://www.youtube.com/watch?v=yxy8RzT3_fE&amp;pp=ygUbU2VhdGVkIFNpbmdsZSBMZWcgTGVnIFByZXNz" TargetMode="External"/><Relationship Id="rId1143" Type="http://schemas.openxmlformats.org/officeDocument/2006/relationships/hyperlink" Target="https://youtu.be/IhZLB48kluc" TargetMode="External"/><Relationship Id="rId311" Type="http://schemas.openxmlformats.org/officeDocument/2006/relationships/hyperlink" Target="https://www.youtube.com/shorts/G4x6LCrQE_E" TargetMode="External"/><Relationship Id="rId553" Type="http://schemas.openxmlformats.org/officeDocument/2006/relationships/hyperlink" Target="https://www.youtube.com/watch?v=s8nr6LyYmtc&amp;pp=ygUTICAgCSBMYXQgU3RyZXRjaGVycw%3D%3D" TargetMode="External"/><Relationship Id="rId795" Type="http://schemas.openxmlformats.org/officeDocument/2006/relationships/hyperlink" Target="https://www.youtube.com/watch?v=O12vEgtY9pE&amp;pp=ygUgU2VhdGVkIFNpbmdsZSBMZWcgSGFtc3RyaW5nIEN1cmw%3D" TargetMode="External"/><Relationship Id="rId1144" Type="http://schemas.openxmlformats.org/officeDocument/2006/relationships/hyperlink" Target="https://youtu.be/wmlLza-kdcg" TargetMode="External"/><Relationship Id="rId310" Type="http://schemas.openxmlformats.org/officeDocument/2006/relationships/hyperlink" Target="https://www.youtube.com/shorts/CfjLu7GB938" TargetMode="External"/><Relationship Id="rId552" Type="http://schemas.openxmlformats.org/officeDocument/2006/relationships/hyperlink" Target="https://www.youtube.com/watch?v=KjlphIQd3ok&amp;pp=ygUMTGF0IFB1bGxvdmVy" TargetMode="External"/><Relationship Id="rId794" Type="http://schemas.openxmlformats.org/officeDocument/2006/relationships/hyperlink" Target="https://www.youtube.com/watch?v=_KZcLQlkTyU&amp;pp=ygUgU2VhdGVkIFNpbmdsZSBBcm0gU2hvdWxkZXIgUHJlc3M%3D" TargetMode="External"/><Relationship Id="rId1145" Type="http://schemas.openxmlformats.org/officeDocument/2006/relationships/hyperlink" Target="https://youtu.be/WGwI629aTAY" TargetMode="External"/><Relationship Id="rId551" Type="http://schemas.openxmlformats.org/officeDocument/2006/relationships/hyperlink" Target="https://www.youtube.com/watch?v=trZQjegcRx0&amp;pp=ygUMTGF0IFB1bGxkb3du" TargetMode="External"/><Relationship Id="rId793" Type="http://schemas.openxmlformats.org/officeDocument/2006/relationships/hyperlink" Target="https://www.youtube.com/watch?v=0BT533ueEdI&amp;pp=ygUeU2VhdGVkIFNpbmdsZSBBcm0gTGF0IFB1bGxkb3du" TargetMode="External"/><Relationship Id="rId1146" Type="http://schemas.openxmlformats.org/officeDocument/2006/relationships/hyperlink" Target="https://youtu.be/iP2fjvG0g3w" TargetMode="External"/><Relationship Id="rId297" Type="http://schemas.openxmlformats.org/officeDocument/2006/relationships/hyperlink" Target="https://www.youtube.com/watch?v=gZr4wiQTfMM&amp;pp=ygUTQ2xvc2UgR3JpcCBQdWxsZG93bg%3D%3D" TargetMode="External"/><Relationship Id="rId296" Type="http://schemas.openxmlformats.org/officeDocument/2006/relationships/hyperlink" Target="https://www.youtube.com/watch?v=sVr4fZOVr34&amp;pp=ygUeQ2xvc2UgR3JpcCBJbmNsaW5lIEJlbmNoIFByZXNz" TargetMode="External"/><Relationship Id="rId295" Type="http://schemas.openxmlformats.org/officeDocument/2006/relationships/hyperlink" Target="https://www.youtube.com/watch?v=vEUyEOVn3yM&amp;pp=ygUbICAgCSBDbG9zZSBHcmlwIEJlbmNoIFByZXNz" TargetMode="External"/><Relationship Id="rId294" Type="http://schemas.openxmlformats.org/officeDocument/2006/relationships/hyperlink" Target="https://www.youtube.com/watch?v=CiqvDV8pzRk&amp;pp=ygUJQ2xhbXNoZWxs" TargetMode="External"/><Relationship Id="rId299" Type="http://schemas.openxmlformats.org/officeDocument/2006/relationships/hyperlink" Target="https://www.youtube.com/watch?v=qhlGekPq-8s&amp;pp=ygUkQ29udHJhbGF0ZXJhbCBPdmVyaGVhZCBSZXZlcnNlIEx1bmdl" TargetMode="External"/><Relationship Id="rId298" Type="http://schemas.openxmlformats.org/officeDocument/2006/relationships/hyperlink" Target="https://www.youtube.com/watch?v=egMfgzQbykY&amp;pp=ygUcQ29udHJhbGF0ZXJhbCBDbGVhbiB0byBQcmVzcw%3D%3D" TargetMode="External"/><Relationship Id="rId271" Type="http://schemas.openxmlformats.org/officeDocument/2006/relationships/hyperlink" Target="https://www.youtube.com/watch?v=QFHIkW3vbfI&amp;pp=ygUoQ2FibGUgU3RhbmRpbmcgU2hvdWxkZXIgUHJlc3MgKFN0YW5kaW5nKQ%3D%3D" TargetMode="External"/><Relationship Id="rId270" Type="http://schemas.openxmlformats.org/officeDocument/2006/relationships/hyperlink" Target="https://www.youtube.com/watch?v=nPrz-nyFKgU&amp;pp=ygUMQ2FibGUgU3F1YXRz" TargetMode="External"/><Relationship Id="rId269" Type="http://schemas.openxmlformats.org/officeDocument/2006/relationships/hyperlink" Target="https://www.youtube.com/watch?v=fBTGwHChaf4&amp;pp=ygUdQ2FibGUgU2hvdWxkZXIgUHJlc3MgKFNlYXRlZCk%3D" TargetMode="External"/><Relationship Id="rId264" Type="http://schemas.openxmlformats.org/officeDocument/2006/relationships/hyperlink" Target="https://www.youtube.com/watch?v=7R88yqmcGrw&amp;pp=ygUkQ2FibGUgUmV2ZXJzZS1HcmlwIFRyaWNlcHMgUHVzaC1Eb3du" TargetMode="External"/><Relationship Id="rId263" Type="http://schemas.openxmlformats.org/officeDocument/2006/relationships/hyperlink" Target="https://www.youtube.com/watch?v=D-aYXhHBDI8&amp;pp=ygUgQ2FibGUgUmV2ZXJzZS1HcmlwIExhdCBQdWxsLURvd24%3D" TargetMode="External"/><Relationship Id="rId262" Type="http://schemas.openxmlformats.org/officeDocument/2006/relationships/hyperlink" Target="https://www.youtube.com/watch?v=JENKmsEZQO8&amp;pp=ygUTQ2FibGUgUmVhciBEZWx0IEZseQ%3D%3D" TargetMode="External"/><Relationship Id="rId261" Type="http://schemas.openxmlformats.org/officeDocument/2006/relationships/hyperlink" Target="https://www.youtube.com/watch?v=AjCCGN2tU3Q&amp;pp=ygUPQ2FibGUgUHVsbC1Eb3du" TargetMode="External"/><Relationship Id="rId268" Type="http://schemas.openxmlformats.org/officeDocument/2006/relationships/hyperlink" Target="https://www.youtube.com/watch?v=vwHG9Jfu4sw&amp;pp=ygUSQ2FibGUgUm93IChTZWF0ZWQp" TargetMode="External"/><Relationship Id="rId267" Type="http://schemas.openxmlformats.org/officeDocument/2006/relationships/hyperlink" Target="https://www.youtube.com/watch?v=yUeuSjH2wqA&amp;pp=ygUcQ2FibGUgUm9wZSBUcmljZXBzIFB1c2gtRG93bg%3D%3D" TargetMode="External"/><Relationship Id="rId266" Type="http://schemas.openxmlformats.org/officeDocument/2006/relationships/hyperlink" Target="https://www.youtube.com/watch?v=dt7zkcKEAJo&amp;pp=ygUaQ2FibGUgUm9wZSBTZWF0ZWQgSGlnaCBSb3c%3D" TargetMode="External"/><Relationship Id="rId265" Type="http://schemas.openxmlformats.org/officeDocument/2006/relationships/hyperlink" Target="https://www.youtube.com/watch?v=Odz1T8WmDBI&amp;pp=ygUWQ2FibGUgUm9wZSBCaWNlcHMgQ3VybA%3D%3D" TargetMode="External"/><Relationship Id="rId260" Type="http://schemas.openxmlformats.org/officeDocument/2006/relationships/hyperlink" Target="https://www.youtube.com/watch?v=4oZ_0_bQcOg&amp;pp=ygUSQ2FibGUgUHVsbCBUaHJvdWdo" TargetMode="External"/><Relationship Id="rId259" Type="http://schemas.openxmlformats.org/officeDocument/2006/relationships/hyperlink" Target="https://www.youtube.com/watch?v=GzmlxvSFE7A&amp;pp=ygUgQ2FibGUgT3ZlcmhlYWQgVHJpY2VwcyBFeHRlbnNpb24%3D" TargetMode="External"/><Relationship Id="rId258" Type="http://schemas.openxmlformats.org/officeDocument/2006/relationships/hyperlink" Target="https://www.youtube.com/watch?v=1u18yJELsh0&amp;pp=ygUfQ2FibGUgT3ZlcmhlYWQgVHJpY2VwIEV4dGVuc2lvbg%3D%3D" TargetMode="External"/><Relationship Id="rId253" Type="http://schemas.openxmlformats.org/officeDocument/2006/relationships/hyperlink" Target="https://www.youtube.com/watch?v=0BT533ueEdI&amp;pp=ygUbQ2FibGUgT25lLUFybSBMYXQgUHVsbC1Eb3du" TargetMode="External"/><Relationship Id="rId495" Type="http://schemas.openxmlformats.org/officeDocument/2006/relationships/hyperlink" Target="https://www.youtube.com/watch?v=YZW3mw_h_DA&amp;pp=ygUfSGVlbCBFbGV2YXRlZCBTaW5nbGUgSGlwIFRocnVzdA%3D%3D" TargetMode="External"/><Relationship Id="rId252" Type="http://schemas.openxmlformats.org/officeDocument/2006/relationships/hyperlink" Target="https://www.youtube.com/watch?v=gZr4wiQTfMM&amp;pp=ygUfQ2FibGUgTmFycm93LUdyaXAgTGF0IFB1bGwtRG93bg%3D%3D" TargetMode="External"/><Relationship Id="rId494" Type="http://schemas.openxmlformats.org/officeDocument/2006/relationships/hyperlink" Target="https://youtu.be/s8Hx4udb96M?si=kEu3ZcQWB51xVOLT" TargetMode="External"/><Relationship Id="rId251" Type="http://schemas.openxmlformats.org/officeDocument/2006/relationships/hyperlink" Target="https://www.youtube.com/shorts/EZSAOY7b3g4" TargetMode="External"/><Relationship Id="rId493" Type="http://schemas.openxmlformats.org/officeDocument/2006/relationships/hyperlink" Target="https://www.youtube.com/shorts/gslEzVggur8" TargetMode="External"/><Relationship Id="rId250" Type="http://schemas.openxmlformats.org/officeDocument/2006/relationships/hyperlink" Target="https://www.youtube.com/watch?v=JcRnAtNN7vs&amp;pp=ygUTQ2FibGUgTGF0ZXJhbCBLaWNrcw%3D%3D" TargetMode="External"/><Relationship Id="rId492" Type="http://schemas.openxmlformats.org/officeDocument/2006/relationships/hyperlink" Target="https://www.youtube.com/shorts/P_7fVVPvMu4" TargetMode="External"/><Relationship Id="rId257" Type="http://schemas.openxmlformats.org/officeDocument/2006/relationships/hyperlink" Target="https://www.youtube.com/watch?v=5_n3gVeGEqc&amp;pp=ygUTQ2FibGUgT3ZlcmhlYWQgQ3VybA%3D%3D" TargetMode="External"/><Relationship Id="rId499" Type="http://schemas.openxmlformats.org/officeDocument/2006/relationships/hyperlink" Target="https://www.youtube.com/watch?v=G1UsKHGv_MY&amp;pp=ygUSSGVsbXMgRHVtYmJlbGwgUm93" TargetMode="External"/><Relationship Id="rId256" Type="http://schemas.openxmlformats.org/officeDocument/2006/relationships/hyperlink" Target="https://www.youtube.com/watch?v=ifP5sFBT7IE&amp;pp=ygUZQ2FibGUgT25lLUxlZ2dlZCBLaWNrYmFjaw%3D%3D" TargetMode="External"/><Relationship Id="rId498" Type="http://schemas.openxmlformats.org/officeDocument/2006/relationships/hyperlink" Target="https://www.youtube.com/watch?v=iPcEh_orLxI&amp;pp=ygUgSGVlbHMgRWxldmF0ZWQgU3VtbyBTcXVhdCBQdWxzZXM%3D" TargetMode="External"/><Relationship Id="rId255" Type="http://schemas.openxmlformats.org/officeDocument/2006/relationships/hyperlink" Target="https://www.youtube.com/watch?v=CrylzZHfO1c&amp;pp=ygUaQ2FibGUgT25lLUFybSBSb3cgKFNlYXRlZCk%3D" TargetMode="External"/><Relationship Id="rId497" Type="http://schemas.openxmlformats.org/officeDocument/2006/relationships/hyperlink" Target="https://www.youtube.com/watch?v=YIOIGUQMck8&amp;pp=ygUJSGVlbCBUYXBz" TargetMode="External"/><Relationship Id="rId254" Type="http://schemas.openxmlformats.org/officeDocument/2006/relationships/hyperlink" Target="https://www.youtube.com/watch?v=FE_AsjcTImc&amp;pp=ygUoQ2FibGUgT25lLUFybSBPdmVyaGVhZCBUcmljZXBzIEV4dGVuc2lvbg%3D%3D" TargetMode="External"/><Relationship Id="rId496" Type="http://schemas.openxmlformats.org/officeDocument/2006/relationships/hyperlink" Target="https://www.youtube.com/watch?v=mJOCFguZRUE&amp;pp=ygUXSGVlbCBFbGV2YXRlZCBTdGVwIERvd24%3D" TargetMode="External"/><Relationship Id="rId293" Type="http://schemas.openxmlformats.org/officeDocument/2006/relationships/hyperlink" Target="https://www.youtube.com/watch?v=EygfY8ByyhQ&amp;pp=ygUNQ2hvcHMgdy8gQmFsbA%3D%3D" TargetMode="External"/><Relationship Id="rId292" Type="http://schemas.openxmlformats.org/officeDocument/2006/relationships/hyperlink" Target="https://www.youtube.com/watch?v=mRy9m2Q9_1I&amp;pp=ygUIQ2hpbiBVcHM%3D" TargetMode="External"/><Relationship Id="rId291" Type="http://schemas.openxmlformats.org/officeDocument/2006/relationships/hyperlink" Target="https://www.youtube.com/watch?v=ym-Mp8tCF00&amp;pp=ygUWQ2hlc3Qtc3VwcG9ydGVkIERCIFJvdw%3D%3D" TargetMode="External"/><Relationship Id="rId290" Type="http://schemas.openxmlformats.org/officeDocument/2006/relationships/hyperlink" Target="https://www.youtube.com/watch?v=9WwRJQ003hU&amp;pp=ygUbQ2hlc3QgU3VwcG9ydGVkIE1hY2hpbmUgUm93" TargetMode="External"/><Relationship Id="rId286" Type="http://schemas.openxmlformats.org/officeDocument/2006/relationships/hyperlink" Target="https://www.youtube.com/watch?v=aXkLkMSfwrg&amp;pp=ygUZQ2hlc3QgUHJlc3MgKyBIb2xsb3cgSG9sZA%3D%3D" TargetMode="External"/><Relationship Id="rId285" Type="http://schemas.openxmlformats.org/officeDocument/2006/relationships/hyperlink" Target="https://www.youtube.com/shorts/UqmbxvOgnX4" TargetMode="External"/><Relationship Id="rId284" Type="http://schemas.openxmlformats.org/officeDocument/2006/relationships/hyperlink" Target="https://www.youtube.com/shorts/kKki4IPqWso" TargetMode="External"/><Relationship Id="rId283" Type="http://schemas.openxmlformats.org/officeDocument/2006/relationships/hyperlink" Target="https://www.youtube.com/watch?v=u56jywgbvE4&amp;pp=ygURQ2hlc3QgRmx5IE1hY2hpbmU%3D" TargetMode="External"/><Relationship Id="rId289" Type="http://schemas.openxmlformats.org/officeDocument/2006/relationships/hyperlink" Target="https://www.youtube.com/watch?v=ym-Mp8tCF00&amp;pp=ygUcQ2hlc3QgU3VwcG9ydGVkIER1bWJiZWxsIFJvdw%3D%3D" TargetMode="External"/><Relationship Id="rId288" Type="http://schemas.openxmlformats.org/officeDocument/2006/relationships/hyperlink" Target="https://www.youtube.com/watch?v=NrfJODuEXHo&amp;pp=ygUcQ2hlc3QgUHJlc3Mgdy8gRGVhZCBCdWcgTGVncw%3D%3D" TargetMode="External"/><Relationship Id="rId287" Type="http://schemas.openxmlformats.org/officeDocument/2006/relationships/hyperlink" Target="https://www.youtube.com/watch?v=mlXTzUUR9AE&amp;pp=ygUTQ2hlc3QgUHJlc3MgTWFjaGluZQ%3D%3D" TargetMode="External"/><Relationship Id="rId282" Type="http://schemas.openxmlformats.org/officeDocument/2006/relationships/hyperlink" Target="https://www.youtube.com/shorts/5M_MYQ9nhN8" TargetMode="External"/><Relationship Id="rId281" Type="http://schemas.openxmlformats.org/officeDocument/2006/relationships/hyperlink" Target="https://www.youtube.com/watch?v=dX_nSOOJIsE&amp;pp=ygUKQ2hlc3QgRGlwcw%3D%3D" TargetMode="External"/><Relationship Id="rId280" Type="http://schemas.openxmlformats.org/officeDocument/2006/relationships/hyperlink" Target="https://www.youtube.com/watch?v=VZltbTn_X5U&amp;pp=ygUUQ2hhcmxpZSdzIEFuZ2VscyBBYnM%3D" TargetMode="External"/><Relationship Id="rId275" Type="http://schemas.openxmlformats.org/officeDocument/2006/relationships/hyperlink" Target="https://www.youtube.com/watch?v=2-LAMcpzODU&amp;pp=ygUdQ2FibGUgVi1CYXIgVHJpY2VwcyBQdXNoLURvd24%3D" TargetMode="External"/><Relationship Id="rId274" Type="http://schemas.openxmlformats.org/officeDocument/2006/relationships/hyperlink" Target="https://www.youtube.com/watch?v=9Q-j2tPu2Sk&amp;pp=ygURQ2FibGUgVXByaWdodCBSb3c%3D" TargetMode="External"/><Relationship Id="rId273" Type="http://schemas.openxmlformats.org/officeDocument/2006/relationships/hyperlink" Target="https://www.youtube.com/watch?v=Vwf9n6TwF0g&amp;pp=ygUkQ2FibGUgU3RyYWlnaHQtQmFyIFRyaWNlcHMgUHVzaC1Eb3du" TargetMode="External"/><Relationship Id="rId272" Type="http://schemas.openxmlformats.org/officeDocument/2006/relationships/hyperlink" Target="https://www.youtube.com/watch?v=wcVDItawocI&amp;pp=ygUcQ2FibGUgU3RyYWlnaHQtQXJtIFB1bGwtRG93bg%3D%3D" TargetMode="External"/><Relationship Id="rId279" Type="http://schemas.openxmlformats.org/officeDocument/2006/relationships/hyperlink" Target="https://www.youtube.com/watch?v=KpNznspZZEY&amp;pp=ygUIQ2F0IENvd3M%3D" TargetMode="External"/><Relationship Id="rId278" Type="http://schemas.openxmlformats.org/officeDocument/2006/relationships/hyperlink" Target="https://www.youtube.com/watch?v=711U6NbJRmc&amp;pp=ygUaQ2FwdGFpbidzIENoYWlyIEtuZWUgUmFpc2U%3D" TargetMode="External"/><Relationship Id="rId277" Type="http://schemas.openxmlformats.org/officeDocument/2006/relationships/hyperlink" Target="https://www.youtube.com/watch?v=YfjeXeiREic&amp;pp=ygUMQ2FsZiBTdHJldGNo" TargetMode="External"/><Relationship Id="rId276" Type="http://schemas.openxmlformats.org/officeDocument/2006/relationships/hyperlink" Target="https://www.youtube.com/watch?v=lueEJGjTuPQ&amp;pp=ygUdQ2FibGUgV2lkZS1HcmlwIExhdCBQdWxsLURvd24%3D" TargetMode="External"/><Relationship Id="rId907" Type="http://schemas.openxmlformats.org/officeDocument/2006/relationships/hyperlink" Target="https://youtu.be/VctKcIQGDCE" TargetMode="External"/><Relationship Id="rId906" Type="http://schemas.openxmlformats.org/officeDocument/2006/relationships/hyperlink" Target="https://youtu.be/qXfx8Iij3xo" TargetMode="External"/><Relationship Id="rId905" Type="http://schemas.openxmlformats.org/officeDocument/2006/relationships/hyperlink" Target="https://youtu.be/8Mxrz-S6XD0" TargetMode="External"/><Relationship Id="rId904" Type="http://schemas.openxmlformats.org/officeDocument/2006/relationships/hyperlink" Target="https://youtube.com/shorts/DoDG6IGCeJw?feature=share" TargetMode="External"/><Relationship Id="rId909" Type="http://schemas.openxmlformats.org/officeDocument/2006/relationships/hyperlink" Target="https://youtu.be/1SEBudQXTjA" TargetMode="External"/><Relationship Id="rId908" Type="http://schemas.openxmlformats.org/officeDocument/2006/relationships/hyperlink" Target="https://youtu.be/7r-NgvMgHVI" TargetMode="External"/><Relationship Id="rId903" Type="http://schemas.openxmlformats.org/officeDocument/2006/relationships/hyperlink" Target="https://youtu.be/HBC5s98wXko" TargetMode="External"/><Relationship Id="rId902" Type="http://schemas.openxmlformats.org/officeDocument/2006/relationships/hyperlink" Target="https://youtu.be/DvYnG5Uar3M" TargetMode="External"/><Relationship Id="rId901" Type="http://schemas.openxmlformats.org/officeDocument/2006/relationships/hyperlink" Target="https://youtu.be/L9-dInqIQus" TargetMode="External"/><Relationship Id="rId900" Type="http://schemas.openxmlformats.org/officeDocument/2006/relationships/hyperlink" Target="https://youtu.be/vVW9LwaahNw" TargetMode="External"/><Relationship Id="rId929" Type="http://schemas.openxmlformats.org/officeDocument/2006/relationships/hyperlink" Target="https://youtu.be/M-sEYls8jRU" TargetMode="External"/><Relationship Id="rId928" Type="http://schemas.openxmlformats.org/officeDocument/2006/relationships/hyperlink" Target="https://youtu.be/ukuHfg8LvHs" TargetMode="External"/><Relationship Id="rId927" Type="http://schemas.openxmlformats.org/officeDocument/2006/relationships/hyperlink" Target="https://youtu.be/4I6txKzGkzk" TargetMode="External"/><Relationship Id="rId926" Type="http://schemas.openxmlformats.org/officeDocument/2006/relationships/hyperlink" Target="https://youtu.be/lI8-igvsnVQ" TargetMode="External"/><Relationship Id="rId921" Type="http://schemas.openxmlformats.org/officeDocument/2006/relationships/hyperlink" Target="https://youtu.be/8cTohcawjCM" TargetMode="External"/><Relationship Id="rId920" Type="http://schemas.openxmlformats.org/officeDocument/2006/relationships/hyperlink" Target="https://youtu.be/amOGPorzJWE" TargetMode="External"/><Relationship Id="rId925" Type="http://schemas.openxmlformats.org/officeDocument/2006/relationships/hyperlink" Target="https://youtu.be/1u5ZDhtYC8s" TargetMode="External"/><Relationship Id="rId924" Type="http://schemas.openxmlformats.org/officeDocument/2006/relationships/hyperlink" Target="https://youtu.be/4QoBQlZswBg" TargetMode="External"/><Relationship Id="rId923" Type="http://schemas.openxmlformats.org/officeDocument/2006/relationships/hyperlink" Target="https://youtu.be/GNY0RKIvkH0" TargetMode="External"/><Relationship Id="rId922" Type="http://schemas.openxmlformats.org/officeDocument/2006/relationships/hyperlink" Target="https://youtube.com/shorts/qup91bTHwH8?feature=share" TargetMode="External"/><Relationship Id="rId918" Type="http://schemas.openxmlformats.org/officeDocument/2006/relationships/hyperlink" Target="https://youtu.be/GQZ9Hy6XN9Q" TargetMode="External"/><Relationship Id="rId917" Type="http://schemas.openxmlformats.org/officeDocument/2006/relationships/hyperlink" Target="https://youtu.be/RaNrQRI9MFI" TargetMode="External"/><Relationship Id="rId916" Type="http://schemas.openxmlformats.org/officeDocument/2006/relationships/hyperlink" Target="https://youtu.be/7NfAcIJqNn8" TargetMode="External"/><Relationship Id="rId915" Type="http://schemas.openxmlformats.org/officeDocument/2006/relationships/hyperlink" Target="https://youtu.be/nuZ8vgL0vRA" TargetMode="External"/><Relationship Id="rId919" Type="http://schemas.openxmlformats.org/officeDocument/2006/relationships/hyperlink" Target="https://youtu.be/45N-2_m7VI8" TargetMode="External"/><Relationship Id="rId910" Type="http://schemas.openxmlformats.org/officeDocument/2006/relationships/hyperlink" Target="https://youtu.be/dFzUjzfih7k" TargetMode="External"/><Relationship Id="rId914" Type="http://schemas.openxmlformats.org/officeDocument/2006/relationships/hyperlink" Target="https://youtu.be/_z5NMUxkxxw" TargetMode="External"/><Relationship Id="rId913" Type="http://schemas.openxmlformats.org/officeDocument/2006/relationships/hyperlink" Target="https://youtu.be/Tz-eIqfB-1Y" TargetMode="External"/><Relationship Id="rId912" Type="http://schemas.openxmlformats.org/officeDocument/2006/relationships/hyperlink" Target="https://youtu.be/9DB2kibw0os" TargetMode="External"/><Relationship Id="rId911" Type="http://schemas.openxmlformats.org/officeDocument/2006/relationships/hyperlink" Target="https://youtu.be/CrylzZHfO1c" TargetMode="External"/><Relationship Id="rId1213" Type="http://schemas.openxmlformats.org/officeDocument/2006/relationships/hyperlink" Target="https://youtu.be/UT1U-iGl2Uc" TargetMode="External"/><Relationship Id="rId1214" Type="http://schemas.openxmlformats.org/officeDocument/2006/relationships/hyperlink" Target="https://youtube.com/shorts/SoChBaHIt40?feature=share" TargetMode="External"/><Relationship Id="rId1215" Type="http://schemas.openxmlformats.org/officeDocument/2006/relationships/hyperlink" Target="https://youtu.be/Gtc_Ns3qYYo" TargetMode="External"/><Relationship Id="rId1216" Type="http://schemas.openxmlformats.org/officeDocument/2006/relationships/hyperlink" Target="https://youtu.be/ogCw52FZlfM" TargetMode="External"/><Relationship Id="rId1217" Type="http://schemas.openxmlformats.org/officeDocument/2006/relationships/hyperlink" Target="https://youtu.be/-CiWQ2IvY34" TargetMode="External"/><Relationship Id="rId1218" Type="http://schemas.openxmlformats.org/officeDocument/2006/relationships/hyperlink" Target="https://youtu.be/f2ugBVdxpPQ" TargetMode="External"/><Relationship Id="rId1219" Type="http://schemas.openxmlformats.org/officeDocument/2006/relationships/hyperlink" Target="https://youtu.be/RyJonI6zQaE" TargetMode="External"/><Relationship Id="rId629" Type="http://schemas.openxmlformats.org/officeDocument/2006/relationships/hyperlink" Target="https://www.youtube.com/shorts/aFsk57XmgHY" TargetMode="External"/><Relationship Id="rId624" Type="http://schemas.openxmlformats.org/officeDocument/2006/relationships/hyperlink" Target="https://www.youtube.com/watch?v=6NCN6kOagfY&amp;pp=ygUMTm9yZGljIEN1cmxz" TargetMode="External"/><Relationship Id="rId866" Type="http://schemas.openxmlformats.org/officeDocument/2006/relationships/hyperlink" Target="https://www.youtube.com/watch?v=OvPHAdtKtHk&amp;pp=ygUTU2luZ2xlLUFybSBCYW5kIFJvdw%3D%3D" TargetMode="External"/><Relationship Id="rId623" Type="http://schemas.openxmlformats.org/officeDocument/2006/relationships/hyperlink" Target="https://www.youtube.com/watch?v=6NCN6kOagfY&amp;pp=ygUMTm9yZGljIEN1cmxz" TargetMode="External"/><Relationship Id="rId865" Type="http://schemas.openxmlformats.org/officeDocument/2006/relationships/hyperlink" Target="https://www.youtube.com/watch?v=L4nTaesNm0E&amp;pp=ygUeU2luZ2xlIExlZyBXZWlnaHRlZCBIaXAgVGhydXN0" TargetMode="External"/><Relationship Id="rId622" Type="http://schemas.openxmlformats.org/officeDocument/2006/relationships/hyperlink" Target="https://www.youtube.com/watch?v=gbPURTSxQLY&amp;pp=ygURTmVnYXRpdmUgUHVsbCBVcHM%3D" TargetMode="External"/><Relationship Id="rId864" Type="http://schemas.openxmlformats.org/officeDocument/2006/relationships/hyperlink" Target="https://www.youtube.com/watch?v=0EIDVDbzVNo&amp;pp=ygUPU2luZ2xlIExlZyBWLVVw" TargetMode="External"/><Relationship Id="rId621" Type="http://schemas.openxmlformats.org/officeDocument/2006/relationships/hyperlink" Target="https://www.youtube.com/watch?v=54y0JAT46vE&amp;pp=ygURTmVjayBTaWRlIFN0cmV0Y2g%3D" TargetMode="External"/><Relationship Id="rId863" Type="http://schemas.openxmlformats.org/officeDocument/2006/relationships/hyperlink" Target="https://www.youtube.com/watch?v=lENC55jZFK8&amp;pp=ygUUU2luZ2xlIExlZyBUb2UgVG91Y2g%3D" TargetMode="External"/><Relationship Id="rId628" Type="http://schemas.openxmlformats.org/officeDocument/2006/relationships/hyperlink" Target="https://www.youtube.com/watch?v=68yrP2-wIzA&amp;pp=ygUiT2Zmc2V0IER1bWJiZWxsIENyb3NzLU92ZXIgU3RlcC1VcA%3D%3D" TargetMode="External"/><Relationship Id="rId627" Type="http://schemas.openxmlformats.org/officeDocument/2006/relationships/hyperlink" Target="https://www.youtube.com/watch?v=6D-rpfVuzA0&amp;pp=ygUZT2JsaXF1ZSBNb3VudGFpbiBDbGltYmVycw%3D%3D" TargetMode="External"/><Relationship Id="rId869" Type="http://schemas.openxmlformats.org/officeDocument/2006/relationships/hyperlink" Target="https://www.youtube.com/watch?v=fr3YLE0pueA&amp;pp=ygUjU2luZ2xlLWFybSBDYWJsZSBDb25jZW50cmF0aW9uIEN1cmw%3D" TargetMode="External"/><Relationship Id="rId626" Type="http://schemas.openxmlformats.org/officeDocument/2006/relationships/hyperlink" Target="https://www.youtube.com/shorts/qdDbwIj-8ok" TargetMode="External"/><Relationship Id="rId868" Type="http://schemas.openxmlformats.org/officeDocument/2006/relationships/hyperlink" Target="https://www.youtube.com/watch?v=uVmRqrTcHyc&amp;pp=ygUcU2luZ2xlLWFybSBDYWJsZSBDaGVzdCBQcmVzcw%3D%3D" TargetMode="External"/><Relationship Id="rId625" Type="http://schemas.openxmlformats.org/officeDocument/2006/relationships/hyperlink" Target="https://www.youtube.com/shorts/flNgfYGvleU" TargetMode="External"/><Relationship Id="rId867" Type="http://schemas.openxmlformats.org/officeDocument/2006/relationships/hyperlink" Target="https://www.youtube.com/watch?v=vGGOR4DPDt0&amp;pp=ygUaU2luZ2xlLWFybSBDYWJsZSBDaGVzdCBGbHk%3D" TargetMode="External"/><Relationship Id="rId620" Type="http://schemas.openxmlformats.org/officeDocument/2006/relationships/hyperlink" Target="https://www.youtube.com/watch?v=U7Y-bY4bZj0&amp;pp=ygUTTmFycm93IEZyb250IFNxdWF0cw%3D%3D" TargetMode="External"/><Relationship Id="rId862" Type="http://schemas.openxmlformats.org/officeDocument/2006/relationships/hyperlink" Target="https://www.youtube.com/watch?v=FLOAv_bGQXA&amp;pp=ygUTU2luZ2xlIExlZyBTd2l0Y2hlcw%3D%3D" TargetMode="External"/><Relationship Id="rId861" Type="http://schemas.openxmlformats.org/officeDocument/2006/relationships/hyperlink" Target="https://www.youtube.com/watch?v=IXzdtAeM1qk&amp;pp=ygUUU2luZ2xlIExlZyBTdGFnZ2VyZWQ%3D" TargetMode="External"/><Relationship Id="rId1210" Type="http://schemas.openxmlformats.org/officeDocument/2006/relationships/hyperlink" Target="https://youtu.be/lueEJGjTuPQ" TargetMode="External"/><Relationship Id="rId860" Type="http://schemas.openxmlformats.org/officeDocument/2006/relationships/hyperlink" Target="https://www.youtube.com/watch?v=R5ew7Gd5hkg&amp;pp=ygUQU2luZ2xlIExlZyBTcXVhdA%3D%3D" TargetMode="External"/><Relationship Id="rId1211" Type="http://schemas.openxmlformats.org/officeDocument/2006/relationships/hyperlink" Target="https://youtu.be/btppD-8cNYU" TargetMode="External"/><Relationship Id="rId1212" Type="http://schemas.openxmlformats.org/officeDocument/2006/relationships/hyperlink" Target="https://youtu.be/LEY11M55Jc0" TargetMode="External"/><Relationship Id="rId1202" Type="http://schemas.openxmlformats.org/officeDocument/2006/relationships/hyperlink" Target="https://youtu.be/HUbrc3hT4JM" TargetMode="External"/><Relationship Id="rId1203" Type="http://schemas.openxmlformats.org/officeDocument/2006/relationships/hyperlink" Target="https://youtu.be/2LoqJTguCx4" TargetMode="External"/><Relationship Id="rId1204" Type="http://schemas.openxmlformats.org/officeDocument/2006/relationships/hyperlink" Target="https://youtu.be/8e42dL8MeMw" TargetMode="External"/><Relationship Id="rId1205" Type="http://schemas.openxmlformats.org/officeDocument/2006/relationships/hyperlink" Target="https://youtu.be/NnaAyf-X01U" TargetMode="External"/><Relationship Id="rId1206" Type="http://schemas.openxmlformats.org/officeDocument/2006/relationships/hyperlink" Target="https://youtu.be/jnfveKq1i3E" TargetMode="External"/><Relationship Id="rId1207" Type="http://schemas.openxmlformats.org/officeDocument/2006/relationships/hyperlink" Target="https://youtu.be/r245A-Wy9V8" TargetMode="External"/><Relationship Id="rId1208" Type="http://schemas.openxmlformats.org/officeDocument/2006/relationships/hyperlink" Target="https://youtu.be/lueEJGjTuPQ" TargetMode="External"/><Relationship Id="rId1209" Type="http://schemas.openxmlformats.org/officeDocument/2006/relationships/hyperlink" Target="https://youtu.be/GRgWPT9XSQQ" TargetMode="External"/><Relationship Id="rId619" Type="http://schemas.openxmlformats.org/officeDocument/2006/relationships/hyperlink" Target="https://www.youtube.com/watch?v=cnyTQDSE884&amp;pp=ygUQTW91bnRhaW4gQ2xpbWJlcg%3D%3D" TargetMode="External"/><Relationship Id="rId618" Type="http://schemas.openxmlformats.org/officeDocument/2006/relationships/hyperlink" Target="https://www.youtube.com/watch?v=-5BWIpgacL4&amp;pp=ygUNTW9kaWZpZWQgMjEncw%3D%3D" TargetMode="External"/><Relationship Id="rId613" Type="http://schemas.openxmlformats.org/officeDocument/2006/relationships/hyperlink" Target="https://www.youtube.com/watch?v=4LQUPybxCnI&amp;pp=ygUfTWFyY2hpbmcgR2x1dGUgQnJpZGdlIHdpdGggSG9sZA%3D%3D" TargetMode="External"/><Relationship Id="rId855" Type="http://schemas.openxmlformats.org/officeDocument/2006/relationships/hyperlink" Target="https://www.youtube.com/watch?v=lzDgRRuBdqY&amp;pp=ygUgU2luZ2xlIExlZyBIaXAgVGhydXN0IHdpdGggVGVtcG8%3D" TargetMode="External"/><Relationship Id="rId612" Type="http://schemas.openxmlformats.org/officeDocument/2006/relationships/hyperlink" Target="https://www.youtube.com/watch?v=IxDVTDKDxSU&amp;pp=ygUPTWFyY2hpbmcgQnJpZGdl" TargetMode="External"/><Relationship Id="rId854" Type="http://schemas.openxmlformats.org/officeDocument/2006/relationships/hyperlink" Target="https://www.youtube.com/watch?v=1Dbd7wStRJg&amp;pp=ygUVU2luZ2xlIGxlZyBoaXAgdGhydXN0" TargetMode="External"/><Relationship Id="rId611" Type="http://schemas.openxmlformats.org/officeDocument/2006/relationships/hyperlink" Target="https://www.youtube.com/watch?v=QIpa-9dtkgA&amp;pp=ygUTTWFjaGluZSBVcHJpZ2h0IFJvdw%3D%3D" TargetMode="External"/><Relationship Id="rId853" Type="http://schemas.openxmlformats.org/officeDocument/2006/relationships/hyperlink" Target="https://www.youtube.com/watch?v=Y1dQUd6OKHk&amp;pp=ygUZU2luZ2xlIExlZyBIYW1zdHJpbmcgQ3VybA%3D%3D" TargetMode="External"/><Relationship Id="rId610" Type="http://schemas.openxmlformats.org/officeDocument/2006/relationships/hyperlink" Target="https://www.youtube.com/watch?v=Bx8ga1BLHLE&amp;pp=ygUZTWFjaGluZSBUcmljZXBzIEV4dGVuc2lvbg%3D%3D" TargetMode="External"/><Relationship Id="rId852" Type="http://schemas.openxmlformats.org/officeDocument/2006/relationships/hyperlink" Target="https://www.youtube.com/watch?v=vdmlNaXSjd4&amp;pp=ygUXU2luZ2xlIExlZyBHbHV0ZSBCcmlkZ2U%3D" TargetMode="External"/><Relationship Id="rId617" Type="http://schemas.openxmlformats.org/officeDocument/2006/relationships/hyperlink" Target="https://www.youtube.com/watch?v=2yjwXTZQDDI&amp;pp=ygUOTWlsaXRhcnkgUHJlc3M%3D" TargetMode="External"/><Relationship Id="rId859" Type="http://schemas.openxmlformats.org/officeDocument/2006/relationships/hyperlink" Target="https://www.youtube.com/watch?v=gI7ULyY-Mvc&amp;pp=ygUUICAgCSBTaW5nbGUgTGVnIFNraXA%3D" TargetMode="External"/><Relationship Id="rId616" Type="http://schemas.openxmlformats.org/officeDocument/2006/relationships/hyperlink" Target="https://www.youtube.com/watch?v=5qS_q9FaeC4&amp;pp=ygUPTWlsaXRhcnkgQ3J1bmNo" TargetMode="External"/><Relationship Id="rId858" Type="http://schemas.openxmlformats.org/officeDocument/2006/relationships/hyperlink" Target="https://www.youtube.com/watch?v=4NUJeFJ14F4&amp;pp=ygUcU2luZ2xlIExlZyBTZWF0ZWQgQ2FsZiBQcmVzcw%3D%3D" TargetMode="External"/><Relationship Id="rId615" Type="http://schemas.openxmlformats.org/officeDocument/2006/relationships/hyperlink" Target="https://www.youtube.com/watch?v=jpM5l0HVtE8&amp;pp=ygUXTWVkaWNpbmUgQmFsbCBXYWxsIFNsYW0%3D" TargetMode="External"/><Relationship Id="rId857" Type="http://schemas.openxmlformats.org/officeDocument/2006/relationships/hyperlink" Target="https://www.youtube.com/watch?v=ZYDTJaAM-gE&amp;pp=ygUQU2luZ2xlIExlZyBQcmVzcw%3D%3D" TargetMode="External"/><Relationship Id="rId614" Type="http://schemas.openxmlformats.org/officeDocument/2006/relationships/hyperlink" Target="https://www.youtube.com/watch?v=sRRQgK8Fm44&amp;pp=ygULTWVhZG93cyBSb3c%3D" TargetMode="External"/><Relationship Id="rId856" Type="http://schemas.openxmlformats.org/officeDocument/2006/relationships/hyperlink" Target="https://www.youtube.com/watch?v=zo2pqw794B0&amp;pp=ygUQU2luZ2xlIExlZyBMaWZ0cw%3D%3D" TargetMode="External"/><Relationship Id="rId851" Type="http://schemas.openxmlformats.org/officeDocument/2006/relationships/hyperlink" Target="https://www.youtube.com/watch?v=mY8n40rMqk8&amp;pp=ygUeU2luZ2xlIExlZyBFbGV2YXRlZCBIaXAgVGhydXN0" TargetMode="External"/><Relationship Id="rId850" Type="http://schemas.openxmlformats.org/officeDocument/2006/relationships/hyperlink" Target="https://www.youtube.com/watch?v=NAhgBYD_uKU&amp;pp=ygUaU2luZ2xlIExlZyBEZWFkbGlmdCBQdWxzZXM%3D" TargetMode="External"/><Relationship Id="rId1200" Type="http://schemas.openxmlformats.org/officeDocument/2006/relationships/hyperlink" Target="https://youtu.be/ONg-lNvWukE" TargetMode="External"/><Relationship Id="rId1201" Type="http://schemas.openxmlformats.org/officeDocument/2006/relationships/hyperlink" Target="https://youtu.be/UQy0HHaA_TU" TargetMode="External"/><Relationship Id="rId409" Type="http://schemas.openxmlformats.org/officeDocument/2006/relationships/hyperlink" Target="https://www.youtube.com/watch?v=fIvr9ootgos&amp;pp=ygUdRm9yd2FyZCBMdW5nZSB3aXRoIEJpY2VwIEN1cmw%3D" TargetMode="External"/><Relationship Id="rId404" Type="http://schemas.openxmlformats.org/officeDocument/2006/relationships/hyperlink" Target="https://www.youtube.com/watch?v=Oz4xHEgMaLY&amp;pp=ygUJRm9hbSBSb2xs" TargetMode="External"/><Relationship Id="rId646" Type="http://schemas.openxmlformats.org/officeDocument/2006/relationships/hyperlink" Target="https://www.youtube.com/watch?v=OWC4YK_mhF8&amp;pp=ygUOUGVsdmljIFRocnVzdHM%3D" TargetMode="External"/><Relationship Id="rId888" Type="http://schemas.openxmlformats.org/officeDocument/2006/relationships/hyperlink" Target="https://youtu.be/dFzUjzfih7k" TargetMode="External"/><Relationship Id="rId403" Type="http://schemas.openxmlformats.org/officeDocument/2006/relationships/hyperlink" Target="https://www.youtube.com/watch?v=s3Mppxwx1o8&amp;pp=ygURRmxvb3IgVHJpY2VwIERpcHM%3D" TargetMode="External"/><Relationship Id="rId645" Type="http://schemas.openxmlformats.org/officeDocument/2006/relationships/hyperlink" Target="https://www.youtube.com/watch?v=FnTyO4LQxj4&amp;pp=ygUjUGVjIE1vYmlsaXphdGlvbiBXaXRoIExhY3Jvc3NlIEJhbGw%3D" TargetMode="External"/><Relationship Id="rId887" Type="http://schemas.openxmlformats.org/officeDocument/2006/relationships/hyperlink" Target="https://youtu.be/oe0kbAVoyjw" TargetMode="External"/><Relationship Id="rId402" Type="http://schemas.openxmlformats.org/officeDocument/2006/relationships/hyperlink" Target="https://www.youtube.com/watch?v=pAgixGIu7os&amp;pp=ygUMRmxvb3IgU2xpZGVz" TargetMode="External"/><Relationship Id="rId644" Type="http://schemas.openxmlformats.org/officeDocument/2006/relationships/hyperlink" Target="https://www.youtube.com/watch?v=IbATWRMM58A&amp;pp=ygUhUGVjIE1pbm9yIEJyb29tc3RpY2sgTW9iaWxpemF0aW9u" TargetMode="External"/><Relationship Id="rId886" Type="http://schemas.openxmlformats.org/officeDocument/2006/relationships/hyperlink" Target="https://youtu.be/DgODc-R4Nv8" TargetMode="External"/><Relationship Id="rId401" Type="http://schemas.openxmlformats.org/officeDocument/2006/relationships/hyperlink" Target="https://www.youtube.com/watch?v=QPTcLlOWSl4&amp;pp=ygUTRmxvb3IgREIgSGlwIFRocnVzdA%3D%3D" TargetMode="External"/><Relationship Id="rId643" Type="http://schemas.openxmlformats.org/officeDocument/2006/relationships/hyperlink" Target="https://www.youtube.com/watch?v=2DtsvvK2Vng" TargetMode="External"/><Relationship Id="rId885" Type="http://schemas.openxmlformats.org/officeDocument/2006/relationships/hyperlink" Target="https://youtu.be/24DrsyEhezE" TargetMode="External"/><Relationship Id="rId408" Type="http://schemas.openxmlformats.org/officeDocument/2006/relationships/hyperlink" Target="https://www.youtube.com/watch?v=btsKBsnysqM&amp;pp=ygUWRm9yd2FyZCBMdW5nZSB3LyBUd2lzdA%3D%3D" TargetMode="External"/><Relationship Id="rId407" Type="http://schemas.openxmlformats.org/officeDocument/2006/relationships/hyperlink" Target="https://www.youtube.com/watch?v=GA-GIqoOWek&amp;pp=ygUNRm9yd2FyZCBMdW5nZQ%3D%3D" TargetMode="External"/><Relationship Id="rId649" Type="http://schemas.openxmlformats.org/officeDocument/2006/relationships/hyperlink" Target="https://www.youtube.com/watch?v=op-eDU9eNqM&amp;pp=ygUOUGlnZW9uIFN0cmV0Y2g%3D" TargetMode="External"/><Relationship Id="rId406" Type="http://schemas.openxmlformats.org/officeDocument/2006/relationships/hyperlink" Target="https://www.youtube.com/watch?v=GovLGiJSXwU&amp;pp=ygUhRm9yZWFybSBXYWxsLVNsaWRlIGF0IDEzNSBEZWdyZWVz" TargetMode="External"/><Relationship Id="rId648" Type="http://schemas.openxmlformats.org/officeDocument/2006/relationships/hyperlink" Target="https://www.youtube.com/watch?v=wc2t62qiqAI&amp;pp=ygUOUGVuZHVsdW0gU3F1YXQ%3D" TargetMode="External"/><Relationship Id="rId405" Type="http://schemas.openxmlformats.org/officeDocument/2006/relationships/hyperlink" Target="https://www.youtube.com/watch?v=mH5Sfb_KTGg&amp;pp=ygUNRm9yZWFybSBQbGFuaw%3D%3D" TargetMode="External"/><Relationship Id="rId647" Type="http://schemas.openxmlformats.org/officeDocument/2006/relationships/hyperlink" Target="https://www.youtube.com/watch?v=h4nkoayPFWw&amp;pp=ygULUGVuZGxheSBSb3c%3D" TargetMode="External"/><Relationship Id="rId889" Type="http://schemas.openxmlformats.org/officeDocument/2006/relationships/hyperlink" Target="https://youtu.be/VH55xy3kVAQ" TargetMode="External"/><Relationship Id="rId880" Type="http://schemas.openxmlformats.org/officeDocument/2006/relationships/hyperlink" Target="https://youtu.be/tMEGqKuOa-M" TargetMode="External"/><Relationship Id="rId400" Type="http://schemas.openxmlformats.org/officeDocument/2006/relationships/hyperlink" Target="https://www.youtube.com/watch?v=iYAbu_CLPu8&amp;pp=ygUdRmxvb3IgQ2hlc3QgUHJlc3MgSG9sbG93IEhvbGQ%3D" TargetMode="External"/><Relationship Id="rId642" Type="http://schemas.openxmlformats.org/officeDocument/2006/relationships/hyperlink" Target="https://www.youtube.com/watch?v=kqZVLzPrgnQ&amp;pp=ygUgUGFsbG9mZiBQcmVzcyBIb3Jpem9udGFsIENpcmNsZXM%3D" TargetMode="External"/><Relationship Id="rId884" Type="http://schemas.openxmlformats.org/officeDocument/2006/relationships/hyperlink" Target="https://youtu.be/VctKcIQGDCE" TargetMode="External"/><Relationship Id="rId641" Type="http://schemas.openxmlformats.org/officeDocument/2006/relationships/hyperlink" Target="https://www.youtube.com/watch?v=ZDAW6zLajKU&amp;pp=ygUMUGFsbG9mIFByZXNz" TargetMode="External"/><Relationship Id="rId883" Type="http://schemas.openxmlformats.org/officeDocument/2006/relationships/hyperlink" Target="https://youtu.be/ZsmsBmOMtnw" TargetMode="External"/><Relationship Id="rId640" Type="http://schemas.openxmlformats.org/officeDocument/2006/relationships/hyperlink" Target="https://www.youtube.com/shorts/8FNGBJUHfsA" TargetMode="External"/><Relationship Id="rId882" Type="http://schemas.openxmlformats.org/officeDocument/2006/relationships/hyperlink" Target="https://youtu.be/XCErz4Rwwm0" TargetMode="External"/><Relationship Id="rId881" Type="http://schemas.openxmlformats.org/officeDocument/2006/relationships/hyperlink" Target="https://youtu.be/0S0pPgQXWNk" TargetMode="External"/><Relationship Id="rId1224" Type="http://schemas.openxmlformats.org/officeDocument/2006/relationships/hyperlink" Target="https://www.youtube.com/watch?v=cgjdYaLdJTo" TargetMode="External"/><Relationship Id="rId1225" Type="http://schemas.openxmlformats.org/officeDocument/2006/relationships/hyperlink" Target="https://youtu.be/vpy4ADmlo1E" TargetMode="External"/><Relationship Id="rId1226" Type="http://schemas.openxmlformats.org/officeDocument/2006/relationships/hyperlink" Target="https://youtu.be/Siwj8KDU5zI" TargetMode="External"/><Relationship Id="rId1227" Type="http://schemas.openxmlformats.org/officeDocument/2006/relationships/drawing" Target="../drawings/drawing4.xml"/><Relationship Id="rId635" Type="http://schemas.openxmlformats.org/officeDocument/2006/relationships/hyperlink" Target="https://www.youtube.com/watch?v=OFmW8Re5Zos&amp;pp=ygUeT25lIEZvb3QgRWxldmF0ZWQgRnJvbnQgU3F1YXRc" TargetMode="External"/><Relationship Id="rId877" Type="http://schemas.openxmlformats.org/officeDocument/2006/relationships/hyperlink" Target="https://www.youtube.com/watch?v=8rl4ioij6lc&amp;pp=ygUhU2luZ2xlLWFybSBDYWJsZSBUcmljZXAgRXh0ZW5zaW9u" TargetMode="External"/><Relationship Id="rId634" Type="http://schemas.openxmlformats.org/officeDocument/2006/relationships/hyperlink" Target="https://www.youtube.com/watch?v=c636wmM2SV0&amp;pp=ygUTT2Zmc2V0IEdvYmxldCBTcXVhdA%3D%3D" TargetMode="External"/><Relationship Id="rId876" Type="http://schemas.openxmlformats.org/officeDocument/2006/relationships/hyperlink" Target="https://www.youtube.com/watch?v=4Xf2zwFnY14&amp;pp=ygUqU2luZ2xlLWFybSBDYWJsZSBPdmVyaGVhZCBUcmljZXAgRXh0ZW5zaW9u" TargetMode="External"/><Relationship Id="rId633" Type="http://schemas.openxmlformats.org/officeDocument/2006/relationships/hyperlink" Target="https://www.youtube.com/watch?v=pEFBMrM4818&amp;pp=ygUXT2Zmc2V0IER1bWJiZWxsIFN0ZXAtVXA%3D" TargetMode="External"/><Relationship Id="rId875" Type="http://schemas.openxmlformats.org/officeDocument/2006/relationships/hyperlink" Target="https://www.youtube.com/watch?v=idM16Yv4t0Q&amp;pp=ygUfU2luZ2xlLWFybSBDYWJsZSBPdmVyaGVhZCBQcmVzcw%3D%3D" TargetMode="External"/><Relationship Id="rId632" Type="http://schemas.openxmlformats.org/officeDocument/2006/relationships/hyperlink" Target="https://www.youtube.com/watch?v=fynqcP1g-vw&amp;pp=ygUbT2Zmc2V0IER1bWJiZWxsIFNwbGl0IFNxdWF0" TargetMode="External"/><Relationship Id="rId874" Type="http://schemas.openxmlformats.org/officeDocument/2006/relationships/hyperlink" Target="https://www.youtube.com/watch?v=FGU9j1P5L-w&amp;pp=ygUeU2luZ2xlLWFybSBDYWJsZSBMYXRlcmFsIFJhaXNl" TargetMode="External"/><Relationship Id="rId639" Type="http://schemas.openxmlformats.org/officeDocument/2006/relationships/hyperlink" Target="https://www.youtube.com/shorts/Q3bO1Fh4734" TargetMode="External"/><Relationship Id="rId638" Type="http://schemas.openxmlformats.org/officeDocument/2006/relationships/hyperlink" Target="https://www.youtube.com/watch?v=pn8mqlG0nkE&amp;pp=ygUOT3ZlcmhlYWQgU3F1YXQ%3D" TargetMode="External"/><Relationship Id="rId637" Type="http://schemas.openxmlformats.org/officeDocument/2006/relationships/hyperlink" Target="https://www.youtube.com/watch?v=rBLLfvmNIIs&amp;pp=ygUQT3ZlcmhlYWQgU2l0IFVwcw%3D%3D" TargetMode="External"/><Relationship Id="rId879" Type="http://schemas.openxmlformats.org/officeDocument/2006/relationships/hyperlink" Target="https://www.youtube.com/watch?v=d6Ba29xFBnw&amp;pp=ygUfU2luZ2xlLUFybSBEdW1iYmVsbCBCZW5jaCBQcmVzcw%3D%3D" TargetMode="External"/><Relationship Id="rId636" Type="http://schemas.openxmlformats.org/officeDocument/2006/relationships/hyperlink" Target="https://www.youtube.com/watch?v=BNagnogKP5A&amp;pp=ygUWT3V0d2FyZCBEQiBCaWNlcCBDdXJscw%3D%3D" TargetMode="External"/><Relationship Id="rId878" Type="http://schemas.openxmlformats.org/officeDocument/2006/relationships/hyperlink" Target="https://www.youtube.com/watch?v=yY1bRgmHpqc&amp;pp=ygUcU2luZ2xlLWFybSBDYWJsZSBVcHJpZ2h0IFJvdw%3D%3D" TargetMode="External"/><Relationship Id="rId631" Type="http://schemas.openxmlformats.org/officeDocument/2006/relationships/hyperlink" Target="https://www.youtube.com/watch?v=xeNEeJ7IqKQ&amp;pp=ygUyT2Zmc2V0IER1bWJiZWxsIFJldmVyc2UgTHVuZ2UgdG8gUm9tYW5pYW4gRGVhZGxpZnQ%3D" TargetMode="External"/><Relationship Id="rId873" Type="http://schemas.openxmlformats.org/officeDocument/2006/relationships/hyperlink" Target="https://www.youtube.com/watch?v=HBC5s98wXko&amp;pp=ygUeU2luZ2xlLWFybSBDYWJsZSBMYXQgUHVsbC1Eb3du" TargetMode="External"/><Relationship Id="rId1220" Type="http://schemas.openxmlformats.org/officeDocument/2006/relationships/hyperlink" Target="https://youtu.be/8zv8Pray4-w" TargetMode="External"/><Relationship Id="rId630" Type="http://schemas.openxmlformats.org/officeDocument/2006/relationships/hyperlink" Target="https://www.youtube.com/watch?v=qidn3D01muY&amp;pp=ygUqT2Zmc2V0IER1bWJiZWxsIFJldmVyc2UgTHVuZ2UgRnJvbSBEZWZpY2l0" TargetMode="External"/><Relationship Id="rId872" Type="http://schemas.openxmlformats.org/officeDocument/2006/relationships/hyperlink" Target="https://www.youtube.com/watch?v=0QJaDVZAv8I&amp;pp=ygUcU2luZ2xlLWFybSBDYWJsZSBIYW1tZXIgQ3VybA%3D%3D" TargetMode="External"/><Relationship Id="rId1221" Type="http://schemas.openxmlformats.org/officeDocument/2006/relationships/hyperlink" Target="https://youtu.be/ayQoxw8sRTk" TargetMode="External"/><Relationship Id="rId871" Type="http://schemas.openxmlformats.org/officeDocument/2006/relationships/hyperlink" Target="https://www.youtube.com/watch?v=9LSa5Jed0hs&amp;pp=ygUmU2luZ2xlLWFybSBDYWJsZSBDdXJsIChTdXBpbmF0ZWQgR3JpcCk%3D" TargetMode="External"/><Relationship Id="rId1222" Type="http://schemas.openxmlformats.org/officeDocument/2006/relationships/hyperlink" Target="https://youtu.be/74jm-tJnL88" TargetMode="External"/><Relationship Id="rId870" Type="http://schemas.openxmlformats.org/officeDocument/2006/relationships/hyperlink" Target="https://www.youtube.com/watch?v=6uEmkzHIIPg&amp;pp=ygUVU2luZ2xlLWFybSBDYWJsZSBDdXJs" TargetMode="External"/><Relationship Id="rId1223" Type="http://schemas.openxmlformats.org/officeDocument/2006/relationships/hyperlink" Target="https://www.youtube.com/watch?v=-7TEPQKkTxI" TargetMode="External"/><Relationship Id="rId829" Type="http://schemas.openxmlformats.org/officeDocument/2006/relationships/hyperlink" Target="https://www.youtube.com/watch?v=0BT533ueEdI&amp;pp=ygUXU2luZ2xlIEFybSBMYXQgUHVsbGRvd24%3D" TargetMode="External"/><Relationship Id="rId828" Type="http://schemas.openxmlformats.org/officeDocument/2006/relationships/hyperlink" Target="https://www.youtube.com/watch?v=ygiRarZWXHw&amp;pp=ygUdU2luZ2xlIEFybSBLZXR0bGViZWxsIFogUHJlc3M%3D" TargetMode="External"/><Relationship Id="rId827" Type="http://schemas.openxmlformats.org/officeDocument/2006/relationships/hyperlink" Target="https://www.youtube.com/watch?v=ygiRarZWXHw&amp;pp=ygUVU2luZ2xlIEFybSBLQiBaIFByZXNz" TargetMode="External"/><Relationship Id="rId822" Type="http://schemas.openxmlformats.org/officeDocument/2006/relationships/hyperlink" Target="https://www.youtube.com/watch?v=ro1FDXOJT4I&amp;pp=ygUTU2luZ2xlIEFybSBEQiBQcmVzcw%3D%3D" TargetMode="External"/><Relationship Id="rId821" Type="http://schemas.openxmlformats.org/officeDocument/2006/relationships/hyperlink" Target="https://www.youtube.com/watch?v=jb_NPNFWqhE&amp;pp=ygUXU2luZ2xlIEFybSBEQiBQbGFuayBSb3c%3D" TargetMode="External"/><Relationship Id="rId820" Type="http://schemas.openxmlformats.org/officeDocument/2006/relationships/hyperlink" Target="https://www.youtube.com/watch?v=D9e8ZBlFPBw&amp;pp=ygUjU2luZ2xlIEFybSBDb3N0YWwgQ2FibGUgQ2hlc3QgUHJlc3M%3D" TargetMode="External"/><Relationship Id="rId826" Type="http://schemas.openxmlformats.org/officeDocument/2006/relationships/hyperlink" Target="https://www.youtube.com/watch?v=SnZ75pFB7Wo&amp;pp=ygUnU2luZ2xlIEFybSBJbmNsaW5lIER1bWJiZWxsIEJlbmNoIFByZXNz" TargetMode="External"/><Relationship Id="rId825" Type="http://schemas.openxmlformats.org/officeDocument/2006/relationships/hyperlink" Target="https://www.youtube.com/watch?v=uLSwoSPhmqI&amp;pp=ygUVU2luZ2xlIEFybSBIYW5nIENsZWFu" TargetMode="External"/><Relationship Id="rId824" Type="http://schemas.openxmlformats.org/officeDocument/2006/relationships/hyperlink" Target="https://www.youtube.com/watch?v=Ib-8BOyAgTQ&amp;pp=ygUbU2luZ2xlIEFybSBEdW1iYmVsbCBaIFByZXNz" TargetMode="External"/><Relationship Id="rId823" Type="http://schemas.openxmlformats.org/officeDocument/2006/relationships/hyperlink" Target="https://www.youtube.com/watch?v=xl1YiqQY2vA&amp;pp=ygURU2luZ2xlIEFybSBEQiBSb3c%3D" TargetMode="External"/><Relationship Id="rId819" Type="http://schemas.openxmlformats.org/officeDocument/2006/relationships/hyperlink" Target="https://www.youtube.com/watch?v=uLSwoSPhmqI&amp;pp=ygUQU2luZ2xlIEFybSBDbGVhbg%3D%3D" TargetMode="External"/><Relationship Id="rId818" Type="http://schemas.openxmlformats.org/officeDocument/2006/relationships/hyperlink" Target="https://www.youtube.com/watch?v=dFzUjzfih7k&amp;pp=ygUOU2luZ2xlIEFybSBSb3c%3D" TargetMode="External"/><Relationship Id="rId817" Type="http://schemas.openxmlformats.org/officeDocument/2006/relationships/hyperlink" Target="https://www.youtube.com/watch?v=pYcpY20QaE8&amp;pp=ygUYU2luZ2xlIEFybSBCZW50IE92ZXIgUm93" TargetMode="External"/><Relationship Id="rId816" Type="http://schemas.openxmlformats.org/officeDocument/2006/relationships/hyperlink" Target="https://www.youtube.com/watch?v=V7qZEEenaaU&amp;pp=ygUXU2luZ2xlIEFybSBBcm5vbGQgUHJlc3M%3D" TargetMode="External"/><Relationship Id="rId811" Type="http://schemas.openxmlformats.org/officeDocument/2006/relationships/hyperlink" Target="https://www.youtube.com/watch?v=-ruAdV34H54&amp;pp=ygUYU2lkZSBQbGFuayBSZWFjaCBUaHJvdWdo" TargetMode="External"/><Relationship Id="rId810" Type="http://schemas.openxmlformats.org/officeDocument/2006/relationships/hyperlink" Target="https://www.youtube.com/watch?v=fdODAWKfEuk&amp;pp=ygUeU2lkZSBQbGFuayBMZWcgTGlmdCAobW9kaWZpZWQp" TargetMode="External"/><Relationship Id="rId815" Type="http://schemas.openxmlformats.org/officeDocument/2006/relationships/hyperlink" Target="https://www.youtube.com/watch?v=vH-58pbvjHQ&amp;pp=ygUVU2lkZSBQbGFuayBXYWxsLVNsaWRl" TargetMode="External"/><Relationship Id="rId814" Type="http://schemas.openxmlformats.org/officeDocument/2006/relationships/hyperlink" Target="https://www.youtube.com/watch?v=CPR2HCm2cRo&amp;pp=ygUYU2lkZSBQbGFuayB0byBLbmVlIERyaXZl" TargetMode="External"/><Relationship Id="rId813" Type="http://schemas.openxmlformats.org/officeDocument/2006/relationships/hyperlink" Target="https://www.youtube.com/watch?v=_K9ZvNNgWyY&amp;pp=ygUPc2lkZSBwbGFuayByb3dz" TargetMode="External"/><Relationship Id="rId812" Type="http://schemas.openxmlformats.org/officeDocument/2006/relationships/hyperlink" Target="https://www.youtube.com/watch?v=-ruAdV34H54&amp;pp=ygUjU2lkZSBQbGFuayBSZWFjaCBUaHJvdWdoIChtb2RpZmllZCk%3D" TargetMode="External"/><Relationship Id="rId609" Type="http://schemas.openxmlformats.org/officeDocument/2006/relationships/hyperlink" Target="https://www.youtube.com/watch?v=OChuGyCSC7U&amp;pp=ygUXTWFjaGluZSBUcmljZXAgUHVzaGRvd24%3D" TargetMode="External"/><Relationship Id="rId608" Type="http://schemas.openxmlformats.org/officeDocument/2006/relationships/hyperlink" Target="https://www.youtube.com/watch?v=IsYLsO16y7g&amp;pp=ygUTTWFjaGluZSBUcmljZXAgRGlwcw%3D%3D" TargetMode="External"/><Relationship Id="rId607" Type="http://schemas.openxmlformats.org/officeDocument/2006/relationships/hyperlink" Target="https://www.youtube.com/shorts/P2KTb8zyqsM" TargetMode="External"/><Relationship Id="rId849" Type="http://schemas.openxmlformats.org/officeDocument/2006/relationships/hyperlink" Target="https://www.youtube.com/watch?v=84hrdsHgDuQ&amp;pp=ygUTU2luZ2xlIExlZyBEZWFkbGlmdA%3D%3D" TargetMode="External"/><Relationship Id="rId602" Type="http://schemas.openxmlformats.org/officeDocument/2006/relationships/hyperlink" Target="https://www.youtube.com/watch?v=kTf-fU5Tab8&amp;pp=ygUeTWFjaGluZSBSZXZlcnNlIEh5cGVyZXh0ZW5zaW9u" TargetMode="External"/><Relationship Id="rId844" Type="http://schemas.openxmlformats.org/officeDocument/2006/relationships/hyperlink" Target="https://www.youtube.com/watch?v=rONpWaNIhE8&amp;pp=ygUhU2luZ2xlIExlZyBCYW5kZWQgR2x1dGUgS2lja2JhY2tz" TargetMode="External"/><Relationship Id="rId601" Type="http://schemas.openxmlformats.org/officeDocument/2006/relationships/hyperlink" Target="https://www.youtube.com/watch?v=rtkvodbZfGY&amp;pp=ygUTTWFjaGluZSBSZXZlcnNlIEZseQ%3D%3D" TargetMode="External"/><Relationship Id="rId843" Type="http://schemas.openxmlformats.org/officeDocument/2006/relationships/hyperlink" Target="https://www.youtube.com/watch?v=NcRJ-CpY8Qc&amp;pp=ygUgU2luZ2xlIEtldHRsZWJlbGwgU2hvdWxkZXIgUHJlc3M%3D" TargetMode="External"/><Relationship Id="rId600" Type="http://schemas.openxmlformats.org/officeDocument/2006/relationships/hyperlink" Target="https://www.youtube.com/watch?v=Ja6ZlIDONac&amp;pp=ygUcTWFjaGluZSBQcmVhY2hlciBCaWNlcHMgQ3VybA%3D%3D" TargetMode="External"/><Relationship Id="rId842" Type="http://schemas.openxmlformats.org/officeDocument/2006/relationships/hyperlink" Target="https://www.youtube.com/watch?v=1iLkzDx57lk&amp;pp=ygUaU2luZ2xlIEFybSBXZWlnaHRlZCBTaXQgVXA%3D" TargetMode="External"/><Relationship Id="rId841" Type="http://schemas.openxmlformats.org/officeDocument/2006/relationships/hyperlink" Target="https://www.youtube.com/watch?v=D9e8ZBlFPBw&amp;pp=ygUkU2luZ2xlIEFybSBTdGVybmFsIENhYmxlIENoZXN0IFByZXNz" TargetMode="External"/><Relationship Id="rId606" Type="http://schemas.openxmlformats.org/officeDocument/2006/relationships/hyperlink" Target="https://www.youtube.com/watch?v=ZYDTJaAM-gE&amp;pp=ygUYTWFjaGluZSBTaW5nbGUtTGVnIFByZXNz" TargetMode="External"/><Relationship Id="rId848" Type="http://schemas.openxmlformats.org/officeDocument/2006/relationships/hyperlink" Target="https://www.youtube.com/watch?v=5kXuVg9tQkE&amp;pp=ygUWU2luZ2xlIExlZyBDaGVzdCBQcmVzcw%3D%3D" TargetMode="External"/><Relationship Id="rId605" Type="http://schemas.openxmlformats.org/officeDocument/2006/relationships/hyperlink" Target="https://www.youtube.com/watch?v=3FG0onSF_n4&amp;pp=ygUNTWFjaGluZSBTaHJ1Zw%3D%3D" TargetMode="External"/><Relationship Id="rId847" Type="http://schemas.openxmlformats.org/officeDocument/2006/relationships/hyperlink" Target="https://www.youtube.com/watch?v=Ru_OVppzC08&amp;pp=ygUXU2luZ2xlIExlZyBCcmlkZ2UgUHJlc3M%3D" TargetMode="External"/><Relationship Id="rId604" Type="http://schemas.openxmlformats.org/officeDocument/2006/relationships/hyperlink" Target="https://www.youtube.com/watch?v=3R14MnZbcpw&amp;pp=ygUbICAgCSBNYWNoaW5lIFNob3VsZGVyIFByZXNz" TargetMode="External"/><Relationship Id="rId846" Type="http://schemas.openxmlformats.org/officeDocument/2006/relationships/hyperlink" Target="https://www.youtube.com/watch?v=I7ChaipZVM4&amp;pp=ygURU2luZ2xlIExlZyBCb3VuZHM%3D" TargetMode="External"/><Relationship Id="rId603" Type="http://schemas.openxmlformats.org/officeDocument/2006/relationships/hyperlink" Target="https://www.youtube.com/watch?v=fK0uZ3KRZRI&amp;pp=ygUXTWFjaGluZSBTZWF0ZWQgTGVnIEN1cmw%3D" TargetMode="External"/><Relationship Id="rId845" Type="http://schemas.openxmlformats.org/officeDocument/2006/relationships/hyperlink" Target="https://www.youtube.com/watch?v=y-v4seZ7eZ8&amp;pp=ygUUU2luZ2xlIExlZyBCZW50IEtuZWU%3D" TargetMode="External"/><Relationship Id="rId840" Type="http://schemas.openxmlformats.org/officeDocument/2006/relationships/hyperlink" Target="https://www.youtube.com/watch?v=sARk1TGYlPU&amp;pp=ygUYU2luZ2xlIEFybSBTdGFnZ2VyZWQgUm93" TargetMode="External"/><Relationship Id="rId839" Type="http://schemas.openxmlformats.org/officeDocument/2006/relationships/hyperlink" Target="https://www.youtube.com/watch?v=f3s7oAavsAc&amp;pp=ygURU2luZ2xlIEFybSBTbmF0Y2g%3D" TargetMode="External"/><Relationship Id="rId838" Type="http://schemas.openxmlformats.org/officeDocument/2006/relationships/hyperlink" Target="https://www.youtube.com/watch?v=GkEaYIzkZec&amp;pp=ygUiU2luZ2xlIEFybSBSb3cgd2l0aCBMZWcgRXh0ZW5zaW9ucw%3D%3D" TargetMode="External"/><Relationship Id="rId833" Type="http://schemas.openxmlformats.org/officeDocument/2006/relationships/hyperlink" Target="https://www.youtube.com/watch?v=XCErz4Rwwm0&amp;pp=ygUVU2luZ2xlIEFybSBQdXNoIFByZXNz" TargetMode="External"/><Relationship Id="rId832" Type="http://schemas.openxmlformats.org/officeDocument/2006/relationships/hyperlink" Target="https://www.youtube.com/watch?v=al0fcJzlSrc&amp;pp=ygUZU2luZ2xlIEFybSBPdmVyaGVhZCBTcXVhdA%3D%3D" TargetMode="External"/><Relationship Id="rId831" Type="http://schemas.openxmlformats.org/officeDocument/2006/relationships/hyperlink" Target="https://www.youtube.com/watch?v=t1XQ7V7gEm4&amp;pp=ygUeU2luZ2xlIEFybSBPYmxpcXVlIENhYmxlIFR3aXN0" TargetMode="External"/><Relationship Id="rId830" Type="http://schemas.openxmlformats.org/officeDocument/2006/relationships/hyperlink" Target="https://www.youtube.com/watch?v=J-6uEOkYAKM&amp;pp=ygUYU2luZ2xlIEFybSBMYXRlcmFsIFJhaXNl" TargetMode="External"/><Relationship Id="rId837" Type="http://schemas.openxmlformats.org/officeDocument/2006/relationships/hyperlink" Target="https://www.youtube.com/watch?v=dFzUjzfih7k&amp;pp=ygUOU2luZ2xlIEFybSBSb3c%3D" TargetMode="External"/><Relationship Id="rId836" Type="http://schemas.openxmlformats.org/officeDocument/2006/relationships/hyperlink" Target="https://www.youtube.com/watch?v=qz1OLup4W_M&amp;pp=ygUaU2luZ2xlIEFybSBSZWFyIERlbHQgUmFpc2U%3D" TargetMode="External"/><Relationship Id="rId835" Type="http://schemas.openxmlformats.org/officeDocument/2006/relationships/hyperlink" Target="https://www.youtube.com/watch?v=UJP3IcIbRe4&amp;pp=ygUeU2luZ2xlIEFybSBSZWFyIERlbHQgQ2FibGUgRmx5" TargetMode="External"/><Relationship Id="rId834" Type="http://schemas.openxmlformats.org/officeDocument/2006/relationships/hyperlink" Target="https://www.youtube.com/watch?v=-t7fuZ0KhDA&amp;pp=ygUfU2luZ2xlIEFybSBSYWlzZSB0byBGcm9udCBSYWlzZQ%3D%3D" TargetMode="External"/><Relationship Id="rId1059" Type="http://schemas.openxmlformats.org/officeDocument/2006/relationships/hyperlink" Target="https://youtu.be/HSE2XCoMosk" TargetMode="External"/><Relationship Id="rId228" Type="http://schemas.openxmlformats.org/officeDocument/2006/relationships/hyperlink" Target="https://www.youtube.com/watch?v=mLgYNdxj-Vw&amp;pp=ygUPQ2FibGUgQ2hlc3QgRmx5" TargetMode="External"/><Relationship Id="rId227" Type="http://schemas.openxmlformats.org/officeDocument/2006/relationships/hyperlink" Target="https://www.youtube.com/watch?v=NFzTWp2qpiE&amp;pp=ygURQ2FibGUgQmljZXAgQ3VybHM%3D" TargetMode="External"/><Relationship Id="rId469" Type="http://schemas.openxmlformats.org/officeDocument/2006/relationships/hyperlink" Target="https://www.youtube.com/watch?v=EevLTIs3yGA&amp;pp=ygUhSGFsZi1LbmVlbGluZyBCYW5kIE92ZXJoZWFkIFNocnVn" TargetMode="External"/><Relationship Id="rId226" Type="http://schemas.openxmlformats.org/officeDocument/2006/relationships/hyperlink" Target="https://www.youtube.com/watch?v=5I_ejzeq9m0&amp;pp=ygUiQ2FibGUgQmVoaW5kIHRoZSBOZWNrIExhdCBQdWxsZG93bg%3D%3D" TargetMode="External"/><Relationship Id="rId468" Type="http://schemas.openxmlformats.org/officeDocument/2006/relationships/hyperlink" Target="https://www.youtube.com/watch?v=qC_QDWMShi8&amp;pp=ygUXSGFsZi1LbmVlbGluZyBCYW5kIExpZnQ%3D" TargetMode="External"/><Relationship Id="rId225" Type="http://schemas.openxmlformats.org/officeDocument/2006/relationships/hyperlink" Target="https://www.youtube.com/watch?v=NFzTWp2qpiE&amp;pp=ygUVQ2FibGUgQmFyIEJpY2VwcyBDdXJs" TargetMode="External"/><Relationship Id="rId467" Type="http://schemas.openxmlformats.org/officeDocument/2006/relationships/hyperlink" Target="https://www.youtube.com/watch?v=8gu5U580aM8&amp;pp=ygUXSGFsZi1LbmVlbGluZyBCYW5kIENob3A%3D" TargetMode="External"/><Relationship Id="rId229" Type="http://schemas.openxmlformats.org/officeDocument/2006/relationships/hyperlink" Target="https://www.youtube.com/watch?v=tAILewhtCb0&amp;pp=ygUaQ2FibGUgQ2hlc3QgUHJlc3MgKFNlYXRlZCk%3D" TargetMode="External"/><Relationship Id="rId1050" Type="http://schemas.openxmlformats.org/officeDocument/2006/relationships/hyperlink" Target="https://youtu.be/upm2TFlO_r0" TargetMode="External"/><Relationship Id="rId220" Type="http://schemas.openxmlformats.org/officeDocument/2006/relationships/hyperlink" Target="https://www.youtube.com/watch?v=Y8FaGgeTvoQ&amp;pp=ygUSQnV0dGVyZmx5IENydW5jaGVz" TargetMode="External"/><Relationship Id="rId462" Type="http://schemas.openxmlformats.org/officeDocument/2006/relationships/hyperlink" Target="https://www.youtube.com/watch?v=Yri2Z-R-Ze4&amp;pp=ygUSSGFsZiBLbmVlbGluZyBSb3dz" TargetMode="External"/><Relationship Id="rId1051" Type="http://schemas.openxmlformats.org/officeDocument/2006/relationships/hyperlink" Target="https://youtu.be/tT00XNqJ3uA" TargetMode="External"/><Relationship Id="rId461" Type="http://schemas.openxmlformats.org/officeDocument/2006/relationships/hyperlink" Target="https://www.youtube.com/watch?v=DWwI61I1KAM&amp;pp=ygUWSGFsZiBLbmVlbGluZyBQYWxsb2Zmcw%3D%3D" TargetMode="External"/><Relationship Id="rId1052" Type="http://schemas.openxmlformats.org/officeDocument/2006/relationships/hyperlink" Target="https://youtu.be/q-_M3Cfqmj4" TargetMode="External"/><Relationship Id="rId460" Type="http://schemas.openxmlformats.org/officeDocument/2006/relationships/hyperlink" Target="https://www.youtube.com/watch?v=PDWNs3oPCow&amp;pp=ygUcSGFsZiBLbmVlbGluZyBPdmVyaGVhZCBQcmVzcw%3D%3D" TargetMode="External"/><Relationship Id="rId1053" Type="http://schemas.openxmlformats.org/officeDocument/2006/relationships/hyperlink" Target="https://youtu.be/jwoTJNgh8BY" TargetMode="External"/><Relationship Id="rId1054" Type="http://schemas.openxmlformats.org/officeDocument/2006/relationships/hyperlink" Target="https://youtu.be/SIdaMvrufa0" TargetMode="External"/><Relationship Id="rId224" Type="http://schemas.openxmlformats.org/officeDocument/2006/relationships/hyperlink" Target="https://www.youtube.com/watch?v=EHq78mQYLbI&amp;pp=ygUPQ2FibGUgQWJkdWN0aW9u" TargetMode="External"/><Relationship Id="rId466" Type="http://schemas.openxmlformats.org/officeDocument/2006/relationships/hyperlink" Target="https://www.youtube.com/watch?v=sgd8n917Zv0&amp;pp=ygUTSGFsZiBUdXJraXNoIEdldCBVcA%3D%3D" TargetMode="External"/><Relationship Id="rId1055" Type="http://schemas.openxmlformats.org/officeDocument/2006/relationships/hyperlink" Target="https://youtu.be/HSE2XCoMosk" TargetMode="External"/><Relationship Id="rId223" Type="http://schemas.openxmlformats.org/officeDocument/2006/relationships/hyperlink" Target="https://www.youtube.com/watch?v=4J7kbCmPScQ&amp;pp=ygURQnV0dGVyZmx5IFN0cmV0Y2g%3D" TargetMode="External"/><Relationship Id="rId465" Type="http://schemas.openxmlformats.org/officeDocument/2006/relationships/hyperlink" Target="https://www.youtube.com/watch?v=4DUIY95jX6Y&amp;pp=ygUeSGFsZiBLbmVlbGluZyBTaW5nbGUtQXJtIFByZXNz" TargetMode="External"/><Relationship Id="rId1056" Type="http://schemas.openxmlformats.org/officeDocument/2006/relationships/hyperlink" Target="https://youtu.be/J9nSWwSXUbU" TargetMode="External"/><Relationship Id="rId222" Type="http://schemas.openxmlformats.org/officeDocument/2006/relationships/hyperlink" Target="https://www.youtube.com/watch?v=5VbyA9P2eLc&amp;pp=ygUQQnV0dGVyZmx5IFNpdCBVcA%3D%3D" TargetMode="External"/><Relationship Id="rId464" Type="http://schemas.openxmlformats.org/officeDocument/2006/relationships/hyperlink" Target="https://www.youtube.com/watch?v=V7oyQrIvF0M&amp;pp=ygUlSGFsZiBLbmVlbGluZyBTaW5nbGUgQXJtIEFybm9sZCBQcmVzcw%3D%3D" TargetMode="External"/><Relationship Id="rId1057" Type="http://schemas.openxmlformats.org/officeDocument/2006/relationships/hyperlink" Target="https://youtu.be/tNHdx7pmrGI" TargetMode="External"/><Relationship Id="rId221" Type="http://schemas.openxmlformats.org/officeDocument/2006/relationships/hyperlink" Target="https://www.youtube.com/watch?v=es9UHMkVv5k&amp;pp=ygUPQnV0dGVyZmx5IEtpY2tz" TargetMode="External"/><Relationship Id="rId463" Type="http://schemas.openxmlformats.org/officeDocument/2006/relationships/hyperlink" Target="https://www.youtube.com/watch?v=8Fx7b81Gs1E&amp;pp=ygUcSGFsZiBLbmVlbGluZyBTaG91bGRlciBQcmVzcw%3D%3D" TargetMode="External"/><Relationship Id="rId1058" Type="http://schemas.openxmlformats.org/officeDocument/2006/relationships/hyperlink" Target="https://youtu.be/cDlOSfu-zHY" TargetMode="External"/><Relationship Id="rId1048" Type="http://schemas.openxmlformats.org/officeDocument/2006/relationships/hyperlink" Target="https://youtu.be/WT5ZiYYbVLw" TargetMode="External"/><Relationship Id="rId1049" Type="http://schemas.openxmlformats.org/officeDocument/2006/relationships/hyperlink" Target="https://youtu.be/q4pyKNE8_C4" TargetMode="External"/><Relationship Id="rId217" Type="http://schemas.openxmlformats.org/officeDocument/2006/relationships/hyperlink" Target="https://www.youtube.com/watch?v=auBLPXO8Fww&amp;pp=ygUHQnVycGVlcw%3D%3D" TargetMode="External"/><Relationship Id="rId459" Type="http://schemas.openxmlformats.org/officeDocument/2006/relationships/hyperlink" Target="https://www.youtube.com/watch?v=Psmkt_Tft5E&amp;pp=ygUbSGFsZiBLbmVlbGluZyBMaWZ0IGFuZCBDaG9w" TargetMode="External"/><Relationship Id="rId216" Type="http://schemas.openxmlformats.org/officeDocument/2006/relationships/hyperlink" Target="https://www.youtube.com/watch?v=HfV1UBKzQTo&amp;pp=ygUVQnVycGVlIFdpdGhvdXQgUHVzaHVw" TargetMode="External"/><Relationship Id="rId458" Type="http://schemas.openxmlformats.org/officeDocument/2006/relationships/hyperlink" Target="https://www.youtube.com/watch?v=ieJ9z19OJu4&amp;pp=ygUYSGFsZiBLbmVlbGluZyBGYWNlIFB1bGxz" TargetMode="External"/><Relationship Id="rId215" Type="http://schemas.openxmlformats.org/officeDocument/2006/relationships/hyperlink" Target="https://www.youtube.com/watch?v=igd9QiZvEMo&amp;pp=ygUUQnVycGVlIHRvIEp1bXAgTHVuZ2U%3D" TargetMode="External"/><Relationship Id="rId457" Type="http://schemas.openxmlformats.org/officeDocument/2006/relationships/hyperlink" Target="https://www.youtube.com/watch?v=vmYnRlWcEjU&amp;pp=ygUPICAJIEhhbGYgR2V0LVVw" TargetMode="External"/><Relationship Id="rId699" Type="http://schemas.openxmlformats.org/officeDocument/2006/relationships/hyperlink" Target="https://www.youtube.com/watch?v=FCmQN5bj7dY&amp;pp=ygUQUHVsc2UgSnVtcCBTcXVhdA%3D%3D" TargetMode="External"/><Relationship Id="rId214" Type="http://schemas.openxmlformats.org/officeDocument/2006/relationships/hyperlink" Target="https://www.youtube.com/watch?v=Qe9aeEfgQTM&amp;pp=ygUPQnVycGVlIFB1c2gtVXBz" TargetMode="External"/><Relationship Id="rId456" Type="http://schemas.openxmlformats.org/officeDocument/2006/relationships/hyperlink" Target="https://www.youtube.com/watch?v=YFh534WC3uw&amp;pp=ygUOSGFsZiBEZWFkIEJ1Z3M%3D" TargetMode="External"/><Relationship Id="rId698" Type="http://schemas.openxmlformats.org/officeDocument/2006/relationships/hyperlink" Target="https://www.youtube.com/watch?v=lTblcfblSlg&amp;pp=ygUVICAgCSBQdWxsLVVwIFdpdGggSXNv" TargetMode="External"/><Relationship Id="rId219" Type="http://schemas.openxmlformats.org/officeDocument/2006/relationships/hyperlink" Target="https://www.youtube.com/watch?v=orflHFw3icE&amp;pp=ygUaQnV0dGVyZmx5IGFuZCBTcGluYWwgVHdpc3Q%3D" TargetMode="External"/><Relationship Id="rId218" Type="http://schemas.openxmlformats.org/officeDocument/2006/relationships/hyperlink" Target="https://www.youtube.com/watch?v=JsxQNiaX43g&amp;pp=ygUKQnV0dCBLaWNrcw%3D%3D" TargetMode="External"/><Relationship Id="rId451" Type="http://schemas.openxmlformats.org/officeDocument/2006/relationships/hyperlink" Target="https://www.youtube.com/watch?v=OWz0f3CN_xg&amp;pp=ygUVR29vZCBNb3JuaW5nIGV4ZXJjaXNl" TargetMode="External"/><Relationship Id="rId693" Type="http://schemas.openxmlformats.org/officeDocument/2006/relationships/hyperlink" Target="https://www.youtube.com/watch?v=Kbx5soJUlvM&amp;pp=ygUbUHJvbmUgSGlwIEV4dGVybmFsIFJvdGF0aW9u" TargetMode="External"/><Relationship Id="rId1040" Type="http://schemas.openxmlformats.org/officeDocument/2006/relationships/hyperlink" Target="https://youtu.be/DCDTnGzawUI" TargetMode="External"/><Relationship Id="rId450" Type="http://schemas.openxmlformats.org/officeDocument/2006/relationships/hyperlink" Target="https://www.youtube.com/watch?v=L6vkuSVCRs4&amp;pp=ygUSR29ibGV0IFN1bW8gU3F1YXRz" TargetMode="External"/><Relationship Id="rId692" Type="http://schemas.openxmlformats.org/officeDocument/2006/relationships/hyperlink" Target="https://www.youtube.com/watch?v=mzCI-LFFK3A&amp;pp=ygUaUHJvbmUgRHluYW1pYyBTcGluYWwgVHdpc3Q%3D" TargetMode="External"/><Relationship Id="rId1041" Type="http://schemas.openxmlformats.org/officeDocument/2006/relationships/hyperlink" Target="https://youtu.be/cYKYGwcg0U8" TargetMode="External"/><Relationship Id="rId691" Type="http://schemas.openxmlformats.org/officeDocument/2006/relationships/hyperlink" Target="https://www.youtube.com/watch?v=FSoUijeznsM&amp;pp=ygUeUHJvbmF0ZWQtR3JpcCBTZWF0ZWQgQ2FibGUgUm93" TargetMode="External"/><Relationship Id="rId1042" Type="http://schemas.openxmlformats.org/officeDocument/2006/relationships/hyperlink" Target="https://youtu.be/DCDTnGzawUI" TargetMode="External"/><Relationship Id="rId690" Type="http://schemas.openxmlformats.org/officeDocument/2006/relationships/hyperlink" Target="https://www.youtube.com/watch?v=sa0NejgxKbc&amp;pp=ygUdUHJvbmF0ZWQtR3JpcCBTZWF0ZWQgQmFuZCBSb3c%3D" TargetMode="External"/><Relationship Id="rId1043" Type="http://schemas.openxmlformats.org/officeDocument/2006/relationships/hyperlink" Target="https://youtu.be/USpmiOk61Ek" TargetMode="External"/><Relationship Id="rId213" Type="http://schemas.openxmlformats.org/officeDocument/2006/relationships/hyperlink" Target="https://www.youtube.com/shorts/qNQfmbHvFHk" TargetMode="External"/><Relationship Id="rId455" Type="http://schemas.openxmlformats.org/officeDocument/2006/relationships/hyperlink" Target="https://www.youtube.com/watch?v=8GJoTBRtdbg&amp;pp=ygUMSGFsZiBCdXJwZWVz" TargetMode="External"/><Relationship Id="rId697" Type="http://schemas.openxmlformats.org/officeDocument/2006/relationships/hyperlink" Target="https://www.youtube.com/watch?v=eGo4IYlbE5g&amp;pp=ygUIUHVsbCBVcHM%3D" TargetMode="External"/><Relationship Id="rId1044" Type="http://schemas.openxmlformats.org/officeDocument/2006/relationships/hyperlink" Target="https://youtu.be/YakK6YFw6Cc" TargetMode="External"/><Relationship Id="rId212" Type="http://schemas.openxmlformats.org/officeDocument/2006/relationships/hyperlink" Target="https://www.youtube.com/shorts/dN63yXNfgKY" TargetMode="External"/><Relationship Id="rId454" Type="http://schemas.openxmlformats.org/officeDocument/2006/relationships/hyperlink" Target="https://www.youtube.com/watch?v=0tn5K9NlCfo&amp;pp=ygUKSGFjayBTcXVhdA%3D%3D" TargetMode="External"/><Relationship Id="rId696" Type="http://schemas.openxmlformats.org/officeDocument/2006/relationships/hyperlink" Target="https://www.youtube.com/watch?v=rKVuKuR4SA4&amp;pp=ygUNUHJvbmUgVCBSYWlzZQ%3D%3D" TargetMode="External"/><Relationship Id="rId1045" Type="http://schemas.openxmlformats.org/officeDocument/2006/relationships/hyperlink" Target="https://youtu.be/0aCnSOxplvs" TargetMode="External"/><Relationship Id="rId211" Type="http://schemas.openxmlformats.org/officeDocument/2006/relationships/hyperlink" Target="https://www.youtube.com/watch?v=auBLPXO8Fww&amp;pp=ygUGQnVycGVl" TargetMode="External"/><Relationship Id="rId453" Type="http://schemas.openxmlformats.org/officeDocument/2006/relationships/hyperlink" Target="https://www.youtube.com/watch?v=e2aZotdgaZs&amp;pp=ygUYR3JvdW5kIHRvIE92ZXJoZWFkIFByZXNz" TargetMode="External"/><Relationship Id="rId695" Type="http://schemas.openxmlformats.org/officeDocument/2006/relationships/hyperlink" Target="https://www.youtube.com/watch?v=rKVuKuR4SA4&amp;pp=ygUNUHJvbmUgVCBSYWlzZQ%3D%3D" TargetMode="External"/><Relationship Id="rId1046" Type="http://schemas.openxmlformats.org/officeDocument/2006/relationships/hyperlink" Target="https://youtu.be/geS0bvXXD08" TargetMode="External"/><Relationship Id="rId210" Type="http://schemas.openxmlformats.org/officeDocument/2006/relationships/hyperlink" Target="https://www.youtube.com/shorts/F810QU8BnZA" TargetMode="External"/><Relationship Id="rId452" Type="http://schemas.openxmlformats.org/officeDocument/2006/relationships/hyperlink" Target="https://www.youtube.com/watch?v=_e1T17mMggo&amp;pp=ygUNR29yaWxsYSBTcXVhdA%3D%3D" TargetMode="External"/><Relationship Id="rId694" Type="http://schemas.openxmlformats.org/officeDocument/2006/relationships/hyperlink" Target="https://www.youtube.com/watch?v=rKVuKuR4SA4&amp;pp=ygUNUHJvbmUgVCBSYWlzZQ%3D%3D" TargetMode="External"/><Relationship Id="rId1047" Type="http://schemas.openxmlformats.org/officeDocument/2006/relationships/hyperlink" Target="https://youtu.be/wcVDItawocI" TargetMode="External"/><Relationship Id="rId491" Type="http://schemas.openxmlformats.org/officeDocument/2006/relationships/hyperlink" Target="https://www.youtube.com/watch?v=Pr1ieGZ5atk&amp;pp=ygUaSGFuZ2luZyBUd2lzdGluZyBMZWcgUmFpc2U%3D" TargetMode="External"/><Relationship Id="rId490" Type="http://schemas.openxmlformats.org/officeDocument/2006/relationships/hyperlink" Target="https://www.youtube.com/watch?v=RuIdJSVTKO4&amp;pp=ygURSGFuZ2luZyBMZWcgUmFpc2U%3D" TargetMode="External"/><Relationship Id="rId249" Type="http://schemas.openxmlformats.org/officeDocument/2006/relationships/hyperlink" Target="https://www.youtube.com/watch?v=CAwf7n6Luuc&amp;pp=ygUTQ2FibGUgTGF0IFB1bGwtZG93bg%3D%3D" TargetMode="External"/><Relationship Id="rId248" Type="http://schemas.openxmlformats.org/officeDocument/2006/relationships/hyperlink" Target="https://www.youtube.com/watch?v=ifP5sFBT7IE&amp;pp=ygUOQ2FibGUgS2lja2JhY2s%3D" TargetMode="External"/><Relationship Id="rId247" Type="http://schemas.openxmlformats.org/officeDocument/2006/relationships/hyperlink" Target="https://www.youtube.com/watch?v=DBiWdDx99ms&amp;pp=ygUlQ2FibGUgSW5jbGluZSBCZW5jaCBUcmljZXBzIEV4dGVuc2lvbg%3D%3D" TargetMode="External"/><Relationship Id="rId489" Type="http://schemas.openxmlformats.org/officeDocument/2006/relationships/hyperlink" Target="https://www.youtube.com/watch?v=RD_A-Z15ER4&amp;pp=ygUSSGFuZ2luZyBLbmVlIFJhaXNl" TargetMode="External"/><Relationship Id="rId1070" Type="http://schemas.openxmlformats.org/officeDocument/2006/relationships/hyperlink" Target="https://youtu.be/9QqrXC0NtiQ" TargetMode="External"/><Relationship Id="rId1071" Type="http://schemas.openxmlformats.org/officeDocument/2006/relationships/hyperlink" Target="https://youtu.be/oWnuU53nU-w" TargetMode="External"/><Relationship Id="rId1072" Type="http://schemas.openxmlformats.org/officeDocument/2006/relationships/hyperlink" Target="https://youtu.be/Ma_naTzTb4Q" TargetMode="External"/><Relationship Id="rId242" Type="http://schemas.openxmlformats.org/officeDocument/2006/relationships/hyperlink" Target="https://www.youtube.com/watch?v=PmXz2Ik-On4&amp;pp=ygUYQ2FibGUgRnJvbnQgUmFpc2UgKFJvcGUp" TargetMode="External"/><Relationship Id="rId484" Type="http://schemas.openxmlformats.org/officeDocument/2006/relationships/hyperlink" Target="https://www.youtube.com/watch?v=S1ViGdqyDqM&amp;pp=ygUUSGFuZC1TdXBwb3J0ZWQgVi1VcHM%3D" TargetMode="External"/><Relationship Id="rId1073" Type="http://schemas.openxmlformats.org/officeDocument/2006/relationships/hyperlink" Target="https://youtu.be/29WoMxbio9w" TargetMode="External"/><Relationship Id="rId241" Type="http://schemas.openxmlformats.org/officeDocument/2006/relationships/hyperlink" Target="https://www.youtube.com/watch?v=fqUgPii8Nm8&amp;pp=ygURQ2FibGUgRnJvbnQgUmFpc2U%3D" TargetMode="External"/><Relationship Id="rId483" Type="http://schemas.openxmlformats.org/officeDocument/2006/relationships/hyperlink" Target="https://www.youtube.com/watch?v=KUQ1RldKLHk&amp;pp=ygUTSGFtc3RyaW5nIFdhbGsgT3V0cw%3D%3D" TargetMode="External"/><Relationship Id="rId1074" Type="http://schemas.openxmlformats.org/officeDocument/2006/relationships/hyperlink" Target="https://youtu.be/bUL1Lqb6JUg" TargetMode="External"/><Relationship Id="rId240" Type="http://schemas.openxmlformats.org/officeDocument/2006/relationships/hyperlink" Target="https://www.youtube.com/watch?v=MwfWEn04I8I&amp;pp=ygUiQ2FibGUgRmxhdCBCZW5jaCBUcmljZXBzIEV4dGVuc2lvbg%3D%3D" TargetMode="External"/><Relationship Id="rId482" Type="http://schemas.openxmlformats.org/officeDocument/2006/relationships/hyperlink" Target="https://www.youtube.com/watch?v=74jrJjbcVd4&amp;pp=ygUSSGFtc3RyaW5nIFN3aXRjaGVz" TargetMode="External"/><Relationship Id="rId1075" Type="http://schemas.openxmlformats.org/officeDocument/2006/relationships/hyperlink" Target="https://youtu.be/8j9boZPcHX8" TargetMode="External"/><Relationship Id="rId481" Type="http://schemas.openxmlformats.org/officeDocument/2006/relationships/hyperlink" Target="https://www.youtube.com/watch?v=JR94frfcfWs&amp;pp=ygUXSGFtc3RyaW5nIFN0cmFwIFN0cmV0Y2g%3D" TargetMode="External"/><Relationship Id="rId1076" Type="http://schemas.openxmlformats.org/officeDocument/2006/relationships/hyperlink" Target="https://youtu.be/YCle1o8ovJ8" TargetMode="External"/><Relationship Id="rId246" Type="http://schemas.openxmlformats.org/officeDocument/2006/relationships/hyperlink" Target="https://www.youtube.com/watch?v=GtHNC-5GtR0&amp;pp=ygUZQ2FibGUgSW5jbGluZSBCZW5jaCBQcmVzcw%3D%3D" TargetMode="External"/><Relationship Id="rId488" Type="http://schemas.openxmlformats.org/officeDocument/2006/relationships/hyperlink" Target="https://www.youtube.com/watch?v=g52W8r1poZE&amp;pp=ygUiSGFuZ2luZyBBcm91bmQgVGhlIFdvcmxkIExlZyBSYWlzZQ%3D%3D" TargetMode="External"/><Relationship Id="rId1077" Type="http://schemas.openxmlformats.org/officeDocument/2006/relationships/hyperlink" Target="https://youtu.be/S2SJ2WDhGGE" TargetMode="External"/><Relationship Id="rId245" Type="http://schemas.openxmlformats.org/officeDocument/2006/relationships/hyperlink" Target="https://www.youtube.com/watch?v=GtHNC-5GtR0&amp;pp=ygUXQ2FibGUgSW5jbGluZSBCZW5jaCBGbHk%3D" TargetMode="External"/><Relationship Id="rId487" Type="http://schemas.openxmlformats.org/officeDocument/2006/relationships/hyperlink" Target="https://www.youtube.com/watch?v=f95XQj-bUDM&amp;pp=ygUcSGFuZ2luZyBBbnRpLUxhdGVyYWwgRmxleGlvbg%3D%3D" TargetMode="External"/><Relationship Id="rId1078" Type="http://schemas.openxmlformats.org/officeDocument/2006/relationships/hyperlink" Target="https://youtu.be/MezNdAcVfZE" TargetMode="External"/><Relationship Id="rId244" Type="http://schemas.openxmlformats.org/officeDocument/2006/relationships/hyperlink" Target="https://www.youtube.com/watch?v=Vzmc5bOmAYs&amp;pp=ygUfQ2FibGUgSW5jbGluZSBCZW5jaCBCaWNlcHMgQ3VybA%3D%3D" TargetMode="External"/><Relationship Id="rId486" Type="http://schemas.openxmlformats.org/officeDocument/2006/relationships/hyperlink" Target="https://www.youtube.com/watch?v=DaKC_BEN5bk&amp;pp=ygUKSGFuZyBDbGVhbg%3D%3D" TargetMode="External"/><Relationship Id="rId1079" Type="http://schemas.openxmlformats.org/officeDocument/2006/relationships/hyperlink" Target="https://youtu.be/XkESHgkTdFw" TargetMode="External"/><Relationship Id="rId243" Type="http://schemas.openxmlformats.org/officeDocument/2006/relationships/hyperlink" Target="https://www.youtube.com/watch?v=laKjkStPiWE&amp;pp=ygURQ2FibGUgSGFtbWVyIEN1cmw%3D" TargetMode="External"/><Relationship Id="rId485" Type="http://schemas.openxmlformats.org/officeDocument/2006/relationships/hyperlink" Target="https://www.youtube.com/watch?v=N-O6f4U58Dk&amp;pp=ygUVSGFuZHMtRWxldmF0ZWQgUHVzaHVw" TargetMode="External"/><Relationship Id="rId480" Type="http://schemas.openxmlformats.org/officeDocument/2006/relationships/hyperlink" Target="https://www.youtube.com/watch?v=Dlazt593cuA&amp;pp=ygUQSGFtc3RyaW5nIFNsaWRlcw%3D%3D" TargetMode="External"/><Relationship Id="rId239" Type="http://schemas.openxmlformats.org/officeDocument/2006/relationships/hyperlink" Target="https://www.youtube.com/watch?v=D04sUKQi85Y&amp;pp=ygUUQ2FibGUgRmxhdCBCZW5jaCBGbHk%3D" TargetMode="External"/><Relationship Id="rId238" Type="http://schemas.openxmlformats.org/officeDocument/2006/relationships/hyperlink" Target="https://www.youtube.com/watch?v=V8dZ3pyiCBo&amp;pp=ygUPQ2FibGUgRmFjZSBQdWxs" TargetMode="External"/><Relationship Id="rId237" Type="http://schemas.openxmlformats.org/officeDocument/2006/relationships/hyperlink" Target="https://www.youtube.com/watch?v=JlxndP60w8E&amp;pp=ygUfQ2FibGUgRXh0ZXJuYWwgUm90YXRpb24gb24gS25lZQ%3D%3D" TargetMode="External"/><Relationship Id="rId479" Type="http://schemas.openxmlformats.org/officeDocument/2006/relationships/hyperlink" Target="https://www.youtube.com/watch?v=9VX1IOp_qrw&amp;pp=ygUQSGFtc3RyaW5nIFNjb29wcw%3D%3D" TargetMode="External"/><Relationship Id="rId236" Type="http://schemas.openxmlformats.org/officeDocument/2006/relationships/hyperlink" Target="https://www.youtube.com/watch?v=D5QdEQyhmVM&amp;pp=ygUvQ2FibGUgRXh0ZXJuYWwgUm90YXRpb24gYXQgOTAgRGVncmVlcyBBYmR1Y3Rpb24%3D" TargetMode="External"/><Relationship Id="rId478" Type="http://schemas.openxmlformats.org/officeDocument/2006/relationships/hyperlink" Target="https://www.youtube.com/watch?v=DHPLhWH1dY4&amp;pp=ygUpSGFtc3RyaW5nIE1vYmlsaXphdGlvbiBXaXRoIExhY3Jvc3NlIEJhbGw%3D" TargetMode="External"/><Relationship Id="rId1060" Type="http://schemas.openxmlformats.org/officeDocument/2006/relationships/hyperlink" Target="https://youtu.be/kjlfpqXnyL8" TargetMode="External"/><Relationship Id="rId1061" Type="http://schemas.openxmlformats.org/officeDocument/2006/relationships/hyperlink" Target="https://youtu.be/wg1aM2MLynM" TargetMode="External"/><Relationship Id="rId231" Type="http://schemas.openxmlformats.org/officeDocument/2006/relationships/hyperlink" Target="https://www.youtube.com/watch?v=taI4XduLpTk&amp;pp=ygUPQ2FibGUgQ3Jvc3NvdmVy" TargetMode="External"/><Relationship Id="rId473" Type="http://schemas.openxmlformats.org/officeDocument/2006/relationships/hyperlink" Target="https://www.youtube.com/watch?v=CRHHSmoakC8&amp;pp=ygUoSGFsZi1LbmVlbGluZyBQYWxsb2YgUHJlc3MgSXNvIFdpdGggQmFuZA%3D%3D" TargetMode="External"/><Relationship Id="rId1062" Type="http://schemas.openxmlformats.org/officeDocument/2006/relationships/hyperlink" Target="https://youtu.be/2SvNjQHHCx8" TargetMode="External"/><Relationship Id="rId230" Type="http://schemas.openxmlformats.org/officeDocument/2006/relationships/hyperlink" Target="https://www.youtube.com/watch?v=FVWJglwid4I&amp;pp=ygUcQ2FibGUgQ2hlc3QgUHJlc3MgKFN0YW5kaW5nKQ%3D%3D" TargetMode="External"/><Relationship Id="rId472" Type="http://schemas.openxmlformats.org/officeDocument/2006/relationships/hyperlink" Target="https://www.youtube.com/watch?v=daqBRjkFwk8&amp;pp=ygUeSGFsZi1LbmVlbGluZyBQYWxsb2YgUHJlc3MgSXNv" TargetMode="External"/><Relationship Id="rId1063" Type="http://schemas.openxmlformats.org/officeDocument/2006/relationships/hyperlink" Target="https://youtu.be/5nUrHJJv08M" TargetMode="External"/><Relationship Id="rId471" Type="http://schemas.openxmlformats.org/officeDocument/2006/relationships/hyperlink" Target="https://www.youtube.com/watch?v=0d0JDpUupxs&amp;pp=ygUYSGFsZi1LbmVlbGluZyBDYWJsZSBMaWZ0" TargetMode="External"/><Relationship Id="rId1064" Type="http://schemas.openxmlformats.org/officeDocument/2006/relationships/hyperlink" Target="https://youtu.be/FAIo7kzC3us" TargetMode="External"/><Relationship Id="rId470" Type="http://schemas.openxmlformats.org/officeDocument/2006/relationships/hyperlink" Target="https://www.youtube.com/watch?v=c1m8jdJaaS8&amp;pp=ygUYSGFsZi1LbmVlbGluZyBDYWJsZSBDaG9w" TargetMode="External"/><Relationship Id="rId1065" Type="http://schemas.openxmlformats.org/officeDocument/2006/relationships/hyperlink" Target="https://youtu.be/1v4r9hht_K4" TargetMode="External"/><Relationship Id="rId235" Type="http://schemas.openxmlformats.org/officeDocument/2006/relationships/hyperlink" Target="https://www.youtube.com/watch?v=jRry9lKQRGo&amp;pp=ygUvQ2FibGUgRXh0ZXJuYWwgUm90YXRpb24gYXQgMzAgRGVncmVlcyBBYmR1Y3Rpb24%3D" TargetMode="External"/><Relationship Id="rId477" Type="http://schemas.openxmlformats.org/officeDocument/2006/relationships/hyperlink" Target="https://www.youtube.com/watch?v=SbSNUXPRkc8&amp;pp=ygUOSGFtc3RyaW5nIEN1cmw%3D" TargetMode="External"/><Relationship Id="rId1066" Type="http://schemas.openxmlformats.org/officeDocument/2006/relationships/hyperlink" Target="https://youtu.be/Fg-lwNBzVV8" TargetMode="External"/><Relationship Id="rId234" Type="http://schemas.openxmlformats.org/officeDocument/2006/relationships/hyperlink" Target="https://www.youtube.com/watch?v=vVM2JlDliDg&amp;pp=ygUlQ2FibGUgRGVjbGluZSBCZW5jaCBUcmljZXBzIEV4dGVuc2lvbg%3D%3D" TargetMode="External"/><Relationship Id="rId476" Type="http://schemas.openxmlformats.org/officeDocument/2006/relationships/hyperlink" Target="https://www.youtube.com/watch?v=vPPVFaKC1M4&amp;pp=ygUkSGFtbWVyIEN1cmwgdG8gRWNjZW50cmljIFN1cHBpbmF0aW9u" TargetMode="External"/><Relationship Id="rId1067" Type="http://schemas.openxmlformats.org/officeDocument/2006/relationships/hyperlink" Target="https://youtu.be/J9zXkxUAfUA" TargetMode="External"/><Relationship Id="rId233" Type="http://schemas.openxmlformats.org/officeDocument/2006/relationships/hyperlink" Target="https://www.youtube.com/watch?v=_4U_5JO3oiE&amp;pp=ygUPQ2FibGUgRGVhZGxpZnRz" TargetMode="External"/><Relationship Id="rId475" Type="http://schemas.openxmlformats.org/officeDocument/2006/relationships/hyperlink" Target="https://www.youtube.com/watch?v=zC3nLlEvin4&amp;pp=ygULSGFtbWVyIEN1cmw%3D" TargetMode="External"/><Relationship Id="rId1068" Type="http://schemas.openxmlformats.org/officeDocument/2006/relationships/hyperlink" Target="https://youtu.be/uy9WZN-ktNc" TargetMode="External"/><Relationship Id="rId232" Type="http://schemas.openxmlformats.org/officeDocument/2006/relationships/hyperlink" Target="https://www.youtube.com/watch?v=NFzTWp2qpiE&amp;pp=ygULQ2FibGUgQ3VybHM%3D" TargetMode="External"/><Relationship Id="rId474" Type="http://schemas.openxmlformats.org/officeDocument/2006/relationships/hyperlink" Target="https://www.youtube.com/watch?v=vsarApmqJmo&amp;pp=ygURSGFtbWVyIENhYmxlIEN1cmw%3D" TargetMode="External"/><Relationship Id="rId1069" Type="http://schemas.openxmlformats.org/officeDocument/2006/relationships/hyperlink" Target="https://youtu.be/FmT4hayWoJA" TargetMode="External"/><Relationship Id="rId1015" Type="http://schemas.openxmlformats.org/officeDocument/2006/relationships/hyperlink" Target="https://youtu.be/t3joV_bTf6M" TargetMode="External"/><Relationship Id="rId1016" Type="http://schemas.openxmlformats.org/officeDocument/2006/relationships/hyperlink" Target="https://youtu.be/Iwe6AmxVf7o" TargetMode="External"/><Relationship Id="rId1017" Type="http://schemas.openxmlformats.org/officeDocument/2006/relationships/hyperlink" Target="https://youtu.be/GAQ-oohMhog" TargetMode="External"/><Relationship Id="rId1018" Type="http://schemas.openxmlformats.org/officeDocument/2006/relationships/hyperlink" Target="https://youtu.be/z1fwSujYhX8" TargetMode="External"/><Relationship Id="rId1019" Type="http://schemas.openxmlformats.org/officeDocument/2006/relationships/hyperlink" Target="https://youtu.be/EygfY8ByyhQ" TargetMode="External"/><Relationship Id="rId426" Type="http://schemas.openxmlformats.org/officeDocument/2006/relationships/hyperlink" Target="https://www.youtube.com/watch?v=A-wKJcMrMRs&amp;pp=ygUYR2x1dGUgQnJpZGdlIENoZXN0IFByZXNz" TargetMode="External"/><Relationship Id="rId668" Type="http://schemas.openxmlformats.org/officeDocument/2006/relationships/hyperlink" Target="https://www.youtube.com/watch?v=vGwFp2B-AnU&amp;pp=ygUNUGxhbmsgUG9wIFVwcw%3D%3D" TargetMode="External"/><Relationship Id="rId425" Type="http://schemas.openxmlformats.org/officeDocument/2006/relationships/hyperlink" Target="https://www.youtube.com/watch?v=2WzJbFY__lk&amp;pp=ygUWR2x1dGUgQmlhc2VkIExlZyBQcmVzcw%3D%3D" TargetMode="External"/><Relationship Id="rId667" Type="http://schemas.openxmlformats.org/officeDocument/2006/relationships/hyperlink" Target="https://www.youtube.com/watch?v=XprFkq1V9I0&amp;pp=ygUZIFBsYW5rIE9wcG9zaXRlIFRvZSBUb3VjaA%3D%3D" TargetMode="External"/><Relationship Id="rId424" Type="http://schemas.openxmlformats.org/officeDocument/2006/relationships/hyperlink" Target="https://www.youtube.com/watch?v=1pbZ8mX2D1U&amp;pp=ygUKR0hEIFNpdC11cA%3D%3D" TargetMode="External"/><Relationship Id="rId666" Type="http://schemas.openxmlformats.org/officeDocument/2006/relationships/hyperlink" Target="https://www.youtube.com/watch?v=pI7uWJXcfPE&amp;pp=ygUUUGxhbmsgS25lZXMgdG8gRWxib3c%3D" TargetMode="External"/><Relationship Id="rId423" Type="http://schemas.openxmlformats.org/officeDocument/2006/relationships/hyperlink" Target="https://www.youtube.com/shorts/g-hztBRGNKY" TargetMode="External"/><Relationship Id="rId665" Type="http://schemas.openxmlformats.org/officeDocument/2006/relationships/hyperlink" Target="https://www.youtube.com/watch?v=ruU6dooUL_g&amp;pp=ygUVUGxhbmsgSmFja3Mgb24gRWxib3dz" TargetMode="External"/><Relationship Id="rId429" Type="http://schemas.openxmlformats.org/officeDocument/2006/relationships/hyperlink" Target="https://www.youtube.com/watch?v=w5QPcMaT_DQ&amp;pp=ygUbR2x1dGUgRm9jdXNlZCBIaXAgRXh0ZW5zaW9u" TargetMode="External"/><Relationship Id="rId428" Type="http://schemas.openxmlformats.org/officeDocument/2006/relationships/hyperlink" Target="https://www.youtube.com/shorts/YDSjolCIDmQ" TargetMode="External"/><Relationship Id="rId427" Type="http://schemas.openxmlformats.org/officeDocument/2006/relationships/hyperlink" Target="https://www.youtube.com/watch?v=cGdhGft43Tc&amp;pp=ygUWR2x1dGUgQnJpZGdlIHRvIFNpdCBVcA%3D%3D" TargetMode="External"/><Relationship Id="rId669" Type="http://schemas.openxmlformats.org/officeDocument/2006/relationships/hyperlink" Target="https://www.youtube.com/watch?v=aS8FD3Lblak&amp;pp=ygULUGxhbmsgUHVsbHM%3D" TargetMode="External"/><Relationship Id="rId660" Type="http://schemas.openxmlformats.org/officeDocument/2006/relationships/hyperlink" Target="https://www.youtube.com/watch?v=vr1T-fTdll0&amp;pp=ygUbUGxhbmsgRWxib3ctdG8tS25lZSBUb3VjaGVz" TargetMode="External"/><Relationship Id="rId1010" Type="http://schemas.openxmlformats.org/officeDocument/2006/relationships/hyperlink" Target="https://youtu.be/VkNcc0BQrpA" TargetMode="External"/><Relationship Id="rId422" Type="http://schemas.openxmlformats.org/officeDocument/2006/relationships/hyperlink" Target="https://www.youtube.com/watch?v=ZRar3mBCdmA&amp;pp=ygURR0hEIEhpcCBFeHRlbnNpb24%3D" TargetMode="External"/><Relationship Id="rId664" Type="http://schemas.openxmlformats.org/officeDocument/2006/relationships/hyperlink" Target="https://www.youtube.com/watch?v=8Do3ssZ23Mc&amp;pp=ygULUGxhbmsgSmFja3M%3D" TargetMode="External"/><Relationship Id="rId1011" Type="http://schemas.openxmlformats.org/officeDocument/2006/relationships/hyperlink" Target="https://youtu.be/2yjwXTZQDDI" TargetMode="External"/><Relationship Id="rId421" Type="http://schemas.openxmlformats.org/officeDocument/2006/relationships/hyperlink" Target="https://www.youtube.com/watch?v=rASjuHdAxew&amp;pp=ygUSICAgCSBHZXQgVXAgU2l0IFVw" TargetMode="External"/><Relationship Id="rId663" Type="http://schemas.openxmlformats.org/officeDocument/2006/relationships/hyperlink" Target="https://www.youtube.com/watch?v=zruJUdSkHsA&amp;pp=ygUdUGxhbmsgSmFjayB3aXRoIFNob3VsZGVyIFRhcHM%3D" TargetMode="External"/><Relationship Id="rId1012" Type="http://schemas.openxmlformats.org/officeDocument/2006/relationships/hyperlink" Target="https://youtu.be/oMW59TKZvaI" TargetMode="External"/><Relationship Id="rId420" Type="http://schemas.openxmlformats.org/officeDocument/2006/relationships/hyperlink" Target="https://www.youtube.com/watch?v=Vlgh0ImT5oU&amp;pp=ygUYRnJvbnQgUmFjayBSZXZlcnNlIEx1bmdl" TargetMode="External"/><Relationship Id="rId662" Type="http://schemas.openxmlformats.org/officeDocument/2006/relationships/hyperlink" Target="https://www.youtube.com/watch?v=m6WSIkhYQyY&amp;pp=ygUVUGxhbmsgSG9wcyBJbi1hbmQtT3V0" TargetMode="External"/><Relationship Id="rId1013" Type="http://schemas.openxmlformats.org/officeDocument/2006/relationships/hyperlink" Target="https://youtu.be/Iwe6AmxVf7o" TargetMode="External"/><Relationship Id="rId661" Type="http://schemas.openxmlformats.org/officeDocument/2006/relationships/hyperlink" Target="https://www.youtube.com/watch?v=Nbg-aizDWnQ&amp;pp=ygUTUGxhbmsgSG9sZCBXYWxrLU91dA%3D%3D" TargetMode="External"/><Relationship Id="rId1014" Type="http://schemas.openxmlformats.org/officeDocument/2006/relationships/hyperlink" Target="https://youtu.be/FVWJglwid4I" TargetMode="External"/><Relationship Id="rId1004" Type="http://schemas.openxmlformats.org/officeDocument/2006/relationships/hyperlink" Target="https://youtu.be/zeSD85M2t6c" TargetMode="External"/><Relationship Id="rId1005" Type="http://schemas.openxmlformats.org/officeDocument/2006/relationships/hyperlink" Target="https://youtu.be/zmnaA-Mbwws" TargetMode="External"/><Relationship Id="rId1006" Type="http://schemas.openxmlformats.org/officeDocument/2006/relationships/hyperlink" Target="https://youtu.be/IpXl63ds9NU" TargetMode="External"/><Relationship Id="rId1007" Type="http://schemas.openxmlformats.org/officeDocument/2006/relationships/hyperlink" Target="https://youtu.be/Th4QdA2BOyg" TargetMode="External"/><Relationship Id="rId1008" Type="http://schemas.openxmlformats.org/officeDocument/2006/relationships/hyperlink" Target="https://youtu.be/sARk1TGYlPU" TargetMode="External"/><Relationship Id="rId1009" Type="http://schemas.openxmlformats.org/officeDocument/2006/relationships/hyperlink" Target="https://youtu.be/gnTpAO-FOwU" TargetMode="External"/><Relationship Id="rId415" Type="http://schemas.openxmlformats.org/officeDocument/2006/relationships/hyperlink" Target="https://www.youtube.com/watch?v=bxO4MK8YDWE&amp;pp=ygUJRnJvZyBQb3Nl" TargetMode="External"/><Relationship Id="rId657" Type="http://schemas.openxmlformats.org/officeDocument/2006/relationships/hyperlink" Target="https://www.youtube.com/watch?v=iz55LbMVHOM&amp;pp=ygUUUGxhbmsgQXJtIEV4dGVuc2lvbnM%3D" TargetMode="External"/><Relationship Id="rId899" Type="http://schemas.openxmlformats.org/officeDocument/2006/relationships/hyperlink" Target="https://youtu.be/qKdTGpvA8GM" TargetMode="External"/><Relationship Id="rId414" Type="http://schemas.openxmlformats.org/officeDocument/2006/relationships/hyperlink" Target="https://www.youtube.com/watch?v=JImgCWzCHwI&amp;pp=ygUWeEZyZW5jaCBQcmVzcyBleGVyY2lzZQ%3D%3D" TargetMode="External"/><Relationship Id="rId656" Type="http://schemas.openxmlformats.org/officeDocument/2006/relationships/hyperlink" Target="https://www.youtube.com/watch?v=5vGaSkJArwI&amp;pp=ygUZUGxhbmsgQWx0ZXJuYXRpbmcgUmVhY2hlcw%3D%3D" TargetMode="External"/><Relationship Id="rId898" Type="http://schemas.openxmlformats.org/officeDocument/2006/relationships/hyperlink" Target="https://youtu.be/Bf1pMAIhQ4k" TargetMode="External"/><Relationship Id="rId413" Type="http://schemas.openxmlformats.org/officeDocument/2006/relationships/hyperlink" Target="https://www.youtube.com/watch?v=47a71yHMN54&amp;pp=ygUXZnJhbmtlbnN0ZWluJ3MgZXhlcmNpc2U%3D" TargetMode="External"/><Relationship Id="rId655" Type="http://schemas.openxmlformats.org/officeDocument/2006/relationships/hyperlink" Target="https://www.youtube.com/watch?v=5vGaSkJArwI&amp;pp=ygUZUGxhbmsgQWx0ZXJuYXRpbmcgUmVhY2hlcw%3D%3D" TargetMode="External"/><Relationship Id="rId897" Type="http://schemas.openxmlformats.org/officeDocument/2006/relationships/hyperlink" Target="https://youtu.be/redrpTwkplw" TargetMode="External"/><Relationship Id="rId412" Type="http://schemas.openxmlformats.org/officeDocument/2006/relationships/hyperlink" Target="https://www.youtube.com/watch?v=btsKBsnysqM&amp;pp=ygUYRm9yd2FyZCBMdW5nZSBXaXRoIFR3aXN0" TargetMode="External"/><Relationship Id="rId654" Type="http://schemas.openxmlformats.org/officeDocument/2006/relationships/hyperlink" Target="https://www.youtube.com/watch?v=r8aHO-GlPcE&amp;pp=ygUkUGxhbmsgQWx0ZXJuYXRpbmcgQXJtL0xlZyBFeHRlbnNpb25z" TargetMode="External"/><Relationship Id="rId896" Type="http://schemas.openxmlformats.org/officeDocument/2006/relationships/hyperlink" Target="https://youtu.be/5k2Bz_XR37U" TargetMode="External"/><Relationship Id="rId419" Type="http://schemas.openxmlformats.org/officeDocument/2006/relationships/hyperlink" Target="https://www.youtube.com/watch?v=cRAPFi5n_NE&amp;pp=ygUfRnJvbnQgTHVuZ2UgdG8gT3ZlcmhlYWQgVHJpY2Vwcw%3D%3D" TargetMode="External"/><Relationship Id="rId418" Type="http://schemas.openxmlformats.org/officeDocument/2006/relationships/hyperlink" Target="https://www.youtube.com/watch?v=UDuoOVkcvjo&amp;pp=ygUaRnJvbnQgRm9vdCBFbGV2YXRlZCBMdW5nZXM%3D" TargetMode="External"/><Relationship Id="rId417" Type="http://schemas.openxmlformats.org/officeDocument/2006/relationships/hyperlink" Target="https://www.youtube.com/watch?v=AbNA7vXyioM&amp;pp=ygUURnJvbnQgYW5kIEJhY2sgTHVuZ2U%3D" TargetMode="External"/><Relationship Id="rId659" Type="http://schemas.openxmlformats.org/officeDocument/2006/relationships/hyperlink" Target="https://www.youtube.com/watch?v=hji_3KGD3uQ&amp;pp=ygUNUGxhbmsgQ2lyY2xlcw%3D%3D" TargetMode="External"/><Relationship Id="rId416" Type="http://schemas.openxmlformats.org/officeDocument/2006/relationships/hyperlink" Target="https://www.youtube.com/watch?v=e5O850feKz8&amp;pp=ygURRnJvZ2dlcnMgZXhlcmNpc2U%3D" TargetMode="External"/><Relationship Id="rId658" Type="http://schemas.openxmlformats.org/officeDocument/2006/relationships/hyperlink" Target="https://www.youtube.com/watch?v=GbsgMtyN9d4&amp;pp=ygUPUGxhbmsgQXJtIE1hcmNo" TargetMode="External"/><Relationship Id="rId891" Type="http://schemas.openxmlformats.org/officeDocument/2006/relationships/hyperlink" Target="https://youtu.be/E76FjHHJGDI" TargetMode="External"/><Relationship Id="rId890" Type="http://schemas.openxmlformats.org/officeDocument/2006/relationships/hyperlink" Target="https://youtu.be/MEG6blZtUpc" TargetMode="External"/><Relationship Id="rId411" Type="http://schemas.openxmlformats.org/officeDocument/2006/relationships/hyperlink" Target="https://www.youtube.com/watch?v=jNXZ3xjzaXI&amp;pp=ygUbRm9yd2FyZCBMdW5nZSB3aXRoIFJvdGF0aW9u" TargetMode="External"/><Relationship Id="rId653" Type="http://schemas.openxmlformats.org/officeDocument/2006/relationships/hyperlink" Target="https://www.youtube.com/watch?v=yeKv5oX_6GY&amp;pp=ygUFUGxhbms%3D" TargetMode="External"/><Relationship Id="rId895" Type="http://schemas.openxmlformats.org/officeDocument/2006/relationships/hyperlink" Target="https://youtu.be/2Z0m_i1-nN0" TargetMode="External"/><Relationship Id="rId1000" Type="http://schemas.openxmlformats.org/officeDocument/2006/relationships/hyperlink" Target="https://youtu.be/y7nzAuuW87A" TargetMode="External"/><Relationship Id="rId410" Type="http://schemas.openxmlformats.org/officeDocument/2006/relationships/hyperlink" Target="https://www.youtube.com/watch?v=_oVuaQjj4Zw&amp;pp=ygUYRm9yd2FyZCBMdW5nZSB3aXRoIFJlYWNo" TargetMode="External"/><Relationship Id="rId652" Type="http://schemas.openxmlformats.org/officeDocument/2006/relationships/hyperlink" Target="https://www.youtube.com/watch?v=vq5-vdgJc0I&amp;pp=ygUMUGlzdG9sIFNxdWF0" TargetMode="External"/><Relationship Id="rId894" Type="http://schemas.openxmlformats.org/officeDocument/2006/relationships/hyperlink" Target="https://youtu.be/DXGkXHibwXY" TargetMode="External"/><Relationship Id="rId1001" Type="http://schemas.openxmlformats.org/officeDocument/2006/relationships/hyperlink" Target="https://youtu.be/_izLJ0giePc" TargetMode="External"/><Relationship Id="rId651" Type="http://schemas.openxmlformats.org/officeDocument/2006/relationships/hyperlink" Target="https://www.youtube.com/shorts/1GhiPpQvBCA" TargetMode="External"/><Relationship Id="rId893" Type="http://schemas.openxmlformats.org/officeDocument/2006/relationships/hyperlink" Target="https://youtu.be/TEc27KAq8jI" TargetMode="External"/><Relationship Id="rId1002" Type="http://schemas.openxmlformats.org/officeDocument/2006/relationships/hyperlink" Target="https://youtu.be/54C5-VZFxIE" TargetMode="External"/><Relationship Id="rId650" Type="http://schemas.openxmlformats.org/officeDocument/2006/relationships/hyperlink" Target="https://www.youtube.com/watch?v=66x0qQiJ-MA&amp;pp=ygUMUGlrZSBQdXNoLVVw" TargetMode="External"/><Relationship Id="rId892" Type="http://schemas.openxmlformats.org/officeDocument/2006/relationships/hyperlink" Target="https://youtu.be/GcMYpwXGrj8" TargetMode="External"/><Relationship Id="rId1003" Type="http://schemas.openxmlformats.org/officeDocument/2006/relationships/hyperlink" Target="https://youtu.be/QVMkcf3uCY0" TargetMode="External"/><Relationship Id="rId1037" Type="http://schemas.openxmlformats.org/officeDocument/2006/relationships/hyperlink" Target="https://youtu.be/r_6Fzs8nM3g" TargetMode="External"/><Relationship Id="rId1038" Type="http://schemas.openxmlformats.org/officeDocument/2006/relationships/hyperlink" Target="https://youtu.be/LFv4Gp_QDAg" TargetMode="External"/><Relationship Id="rId1039" Type="http://schemas.openxmlformats.org/officeDocument/2006/relationships/hyperlink" Target="https://youtu.be/5VA1qaRwaeU" TargetMode="External"/><Relationship Id="rId206" Type="http://schemas.openxmlformats.org/officeDocument/2006/relationships/hyperlink" Target="https://www.youtube.com/watch?v=w3KaX9dBCfQ&amp;pp=ygUXQnJvYWQgSnVtcCwgSHVzdGxlIEJhY2s%3D" TargetMode="External"/><Relationship Id="rId448" Type="http://schemas.openxmlformats.org/officeDocument/2006/relationships/hyperlink" Target="https://www.youtube.com/watch?v=j9R9ISazx9c&amp;pp=ygUXR29ibGV0IFNxdWF0IFdpdGggUHVsc2U%3D" TargetMode="External"/><Relationship Id="rId205" Type="http://schemas.openxmlformats.org/officeDocument/2006/relationships/hyperlink" Target="https://www.youtube.com/watch?v=uhz-ia-2UcM&amp;pp=ygUKQnJvYWQgSnVtcA%3D%3D" TargetMode="External"/><Relationship Id="rId447" Type="http://schemas.openxmlformats.org/officeDocument/2006/relationships/hyperlink" Target="https://www.youtube.com/watch?v=Aub3U8uHNQk&amp;pp=ygUTR29ibGV0IFNxdWF0IHRvIEJveA%3D%3D" TargetMode="External"/><Relationship Id="rId689" Type="http://schemas.openxmlformats.org/officeDocument/2006/relationships/hyperlink" Target="https://www.youtube.com/watch?v=l2PBwCr7Pio&amp;pp=ygU2UHJvZ3Jlc3Npb24vQ29tYm8gb2YgV29ybGQncyBHcmVhdGVzdCBTdHJldGNoIGFuZCBDcmFi" TargetMode="External"/><Relationship Id="rId204" Type="http://schemas.openxmlformats.org/officeDocument/2006/relationships/hyperlink" Target="https://www.youtube.com/watch?v=MdlpB3LEBVI&amp;pp=ygUNQm94L1R1Y2sgSnVtcA%3D%3D" TargetMode="External"/><Relationship Id="rId446" Type="http://schemas.openxmlformats.org/officeDocument/2006/relationships/hyperlink" Target="https://www.youtube.com/watch?v=qauQpg8QZw4&amp;pp=ygUQR29ibGV0IFNxdWF0IElzbw%3D%3D" TargetMode="External"/><Relationship Id="rId688" Type="http://schemas.openxmlformats.org/officeDocument/2006/relationships/hyperlink" Target="https://www.youtube.com/watch?v=97p3_bDkPUE&amp;pp=ygUOUHJpc29uZXIgU3F1YXQ%3D" TargetMode="External"/><Relationship Id="rId203" Type="http://schemas.openxmlformats.org/officeDocument/2006/relationships/hyperlink" Target="https://www.youtube.com/watch?v=rRihE4weYg4&amp;pp=ygUKQm94IFNxdWF0cw%3D%3D" TargetMode="External"/><Relationship Id="rId445" Type="http://schemas.openxmlformats.org/officeDocument/2006/relationships/hyperlink" Target="https://www.youtube.com/watch?v=f-Vf2yRRqOg&amp;pp=ygUMR29ibGV0IFNxdWF0" TargetMode="External"/><Relationship Id="rId687" Type="http://schemas.openxmlformats.org/officeDocument/2006/relationships/hyperlink" Target="https://www.youtube.com/watch?v=vngli9UR6Hw&amp;pp=ygUOUHJlYWNoZXIgQ3VybHM%3D" TargetMode="External"/><Relationship Id="rId209" Type="http://schemas.openxmlformats.org/officeDocument/2006/relationships/hyperlink" Target="https://www.youtube.com/shorts/wtGCCaPg5gE" TargetMode="External"/><Relationship Id="rId208" Type="http://schemas.openxmlformats.org/officeDocument/2006/relationships/hyperlink" Target="https://www.youtube.com/watch?v=hPlKPjohFS0&amp;pp=ygUVQnVsZ2FyaWFuIFNwbGl0IFNxdWF0" TargetMode="External"/><Relationship Id="rId207" Type="http://schemas.openxmlformats.org/officeDocument/2006/relationships/hyperlink" Target="https://www.youtube.com/watch?v=HBYGeyb4sSM&amp;pp=ygUPQnVsZ2FyaWFuIEx1bmdl" TargetMode="External"/><Relationship Id="rId449" Type="http://schemas.openxmlformats.org/officeDocument/2006/relationships/hyperlink" Target="https://www.youtube.com/watch?v=ci0s9-U1S50&amp;pp=ygUOR29ibGV0IFN0ZXAtVXA%3D" TargetMode="External"/><Relationship Id="rId440" Type="http://schemas.openxmlformats.org/officeDocument/2006/relationships/hyperlink" Target="https://www.youtube.com/watch?v=j9R9ISazx9c&amp;pp=ygUTR29ibGV0IFB1bHNlIFNxdWF0cw%3D%3D" TargetMode="External"/><Relationship Id="rId682" Type="http://schemas.openxmlformats.org/officeDocument/2006/relationships/hyperlink" Target="https://www.youtube.com/watch?v=PKIiYknNvhw&amp;pp=ygUQICAgCSBQbGF0ZSBTcXVhdA%3D%3D" TargetMode="External"/><Relationship Id="rId681" Type="http://schemas.openxmlformats.org/officeDocument/2006/relationships/hyperlink" Target="https://www.youtube.com/shorts/YGF-RfaSyDM" TargetMode="External"/><Relationship Id="rId1030" Type="http://schemas.openxmlformats.org/officeDocument/2006/relationships/hyperlink" Target="https://www.youtube.com/watch?v=wuFsq9tOsfs" TargetMode="External"/><Relationship Id="rId680" Type="http://schemas.openxmlformats.org/officeDocument/2006/relationships/hyperlink" Target="https://www.youtube.com/watch?v=-DWJLKoHFK8&amp;pp=ygULUGxhdGUgQ3VybHM%3D" TargetMode="External"/><Relationship Id="rId1031" Type="http://schemas.openxmlformats.org/officeDocument/2006/relationships/hyperlink" Target="https://youtu.be/PWmNVcs8rJY" TargetMode="External"/><Relationship Id="rId1032" Type="http://schemas.openxmlformats.org/officeDocument/2006/relationships/hyperlink" Target="https://youtu.be/-Vyt2QdsR7E" TargetMode="External"/><Relationship Id="rId202" Type="http://schemas.openxmlformats.org/officeDocument/2006/relationships/hyperlink" Target="https://www.youtube.com/watch?v=NBY9-kTuHEk&amp;pp=ygUJQm94IEp1bXBz" TargetMode="External"/><Relationship Id="rId444" Type="http://schemas.openxmlformats.org/officeDocument/2006/relationships/hyperlink" Target="https://www.youtube.com/watch?v=jZRiY-jwePk&amp;pp=ygUkR29ibGV0IFNwbGl0IFNxdWF0IFdpdGggQmxvY2tlZCBLbmVl" TargetMode="External"/><Relationship Id="rId686" Type="http://schemas.openxmlformats.org/officeDocument/2006/relationships/hyperlink" Target="https://www.youtube.com/watch?v=yryqhGC01G4&amp;pp=ygUOUG9wY29ybiBTcXVhdHM%3D" TargetMode="External"/><Relationship Id="rId1033" Type="http://schemas.openxmlformats.org/officeDocument/2006/relationships/hyperlink" Target="https://youtu.be/EnJTqLyH9ZI" TargetMode="External"/><Relationship Id="rId201" Type="http://schemas.openxmlformats.org/officeDocument/2006/relationships/hyperlink" Target="https://www.youtube.com/watch?v=zb2ftRZ-GiQ&amp;pp=ygUMQm93bGVyIFNxdWF0" TargetMode="External"/><Relationship Id="rId443" Type="http://schemas.openxmlformats.org/officeDocument/2006/relationships/hyperlink" Target="https://www.youtube.com/watch?v=X13mW_a88Hw&amp;pp=ygUSR29ibGV0IFNwbGl0IFNxdWF0" TargetMode="External"/><Relationship Id="rId685" Type="http://schemas.openxmlformats.org/officeDocument/2006/relationships/hyperlink" Target="https://www.youtube.com/watch?v=Y-uF4F3mQIs&amp;pp=ygUMUGx5byBQdXNoIFVw" TargetMode="External"/><Relationship Id="rId1034" Type="http://schemas.openxmlformats.org/officeDocument/2006/relationships/hyperlink" Target="https://youtu.be/xoZMv_YJtkA" TargetMode="External"/><Relationship Id="rId200" Type="http://schemas.openxmlformats.org/officeDocument/2006/relationships/hyperlink" Target="https://www.youtube.com/watch?v=RXC7tE6IQcc&amp;pp=ygUZQm9keXdlaWdodCBUaWJpYWxpcyBSYWlzZQ%3D%3D" TargetMode="External"/><Relationship Id="rId442" Type="http://schemas.openxmlformats.org/officeDocument/2006/relationships/hyperlink" Target="https://www.youtube.com/watch?v=ce0okBGTKB4&amp;pp=ygUmR29ibGV0IFJldmVyc2UgTHVuZ2UgV2l0aCBCbG9ja2VkIEtuZWU%3D" TargetMode="External"/><Relationship Id="rId684" Type="http://schemas.openxmlformats.org/officeDocument/2006/relationships/hyperlink" Target="https://www.youtube.com/watch?v=4eDJa5MnAmY&amp;pp=ygUTUGxhdGZvcm0gU3VtbyBTcXVhdA%3D%3D" TargetMode="External"/><Relationship Id="rId1035" Type="http://schemas.openxmlformats.org/officeDocument/2006/relationships/hyperlink" Target="https://youtu.be/ee3lC7iLfss" TargetMode="External"/><Relationship Id="rId441" Type="http://schemas.openxmlformats.org/officeDocument/2006/relationships/hyperlink" Target="https://www.youtube.com/watch?v=rYrbrFS2bqE&amp;pp=ygUUR29ibGV0IFJldmVyc2UgTHVuZ2U%3D" TargetMode="External"/><Relationship Id="rId683" Type="http://schemas.openxmlformats.org/officeDocument/2006/relationships/hyperlink" Target="https://www.youtube.com/watch?v=4oN1hd6pJW0&amp;pp=ygUQUGxhdGZvcm0gUHVzaHVwcw%3D%3D" TargetMode="External"/><Relationship Id="rId1036" Type="http://schemas.openxmlformats.org/officeDocument/2006/relationships/hyperlink" Target="https://youtu.be/WCFCdxzFBa4" TargetMode="External"/><Relationship Id="rId1026" Type="http://schemas.openxmlformats.org/officeDocument/2006/relationships/hyperlink" Target="https://youtu.be/rff0s7aBhnE" TargetMode="External"/><Relationship Id="rId1027" Type="http://schemas.openxmlformats.org/officeDocument/2006/relationships/hyperlink" Target="https://youtu.be/_z5NMUxkxxw" TargetMode="External"/><Relationship Id="rId1028" Type="http://schemas.openxmlformats.org/officeDocument/2006/relationships/hyperlink" Target="https://youtu.be/PWQ9xEVNwkQ" TargetMode="External"/><Relationship Id="rId1029" Type="http://schemas.openxmlformats.org/officeDocument/2006/relationships/hyperlink" Target="https://youtu.be/5KZF1xdgA-A" TargetMode="External"/><Relationship Id="rId437" Type="http://schemas.openxmlformats.org/officeDocument/2006/relationships/hyperlink" Target="https://www.youtube.com/watch?v=mpNAxv0MgVM&amp;pp=ygUZR29ibGV0IExhdGVyYWwgTHVuZ2UgV2Fsaw%3D%3D" TargetMode="External"/><Relationship Id="rId679" Type="http://schemas.openxmlformats.org/officeDocument/2006/relationships/hyperlink" Target="https://www.youtube.com/watch?v=9667qmn8zdY&amp;pp=ygUJUGxhbmstdXBz" TargetMode="External"/><Relationship Id="rId436" Type="http://schemas.openxmlformats.org/officeDocument/2006/relationships/hyperlink" Target="https://www.youtube.com/watch?v=6DMXBtF_Spg&amp;pp=ygUUR29ibGV0IExhdGVyYWwgTHVuZ2U%3D" TargetMode="External"/><Relationship Id="rId678" Type="http://schemas.openxmlformats.org/officeDocument/2006/relationships/hyperlink" Target="https://www.youtube.com/watch?v=rSc1pmDEhZg&amp;pp=ygUbUGxhbmsgd2l0aCBBbHRlcm5hdGluZyBSb3dz" TargetMode="External"/><Relationship Id="rId435" Type="http://schemas.openxmlformats.org/officeDocument/2006/relationships/hyperlink" Target="https://www.youtube.com/watch?v=N5_xeuCiyJg&amp;pp=ygUSR29ibGV0IDEgMS80IFNxdWF0" TargetMode="External"/><Relationship Id="rId677" Type="http://schemas.openxmlformats.org/officeDocument/2006/relationships/hyperlink" Target="https://www.youtube.com/watch?v=99DDQJJQ68c&amp;pp=ygUPUGxhbmsgV2FsayBPdXRz" TargetMode="External"/><Relationship Id="rId434" Type="http://schemas.openxmlformats.org/officeDocument/2006/relationships/hyperlink" Target="https://www.youtube.com/shorts/TG3xUe-UvCQ" TargetMode="External"/><Relationship Id="rId676" Type="http://schemas.openxmlformats.org/officeDocument/2006/relationships/hyperlink" Target="https://www.youtube.com/watch?v=VYgVTinbx_A&amp;pp=ygUWUGxhbmsgVHJpY2VwIEV4dGVuc2lvbg%3D%3D" TargetMode="External"/><Relationship Id="rId439" Type="http://schemas.openxmlformats.org/officeDocument/2006/relationships/hyperlink" Target="https://www.youtube.com/watch?v=rTJRq7TASsg&amp;pp=ygURICAgCSBHb2JsZXQgTHVuZ2U%3D" TargetMode="External"/><Relationship Id="rId438" Type="http://schemas.openxmlformats.org/officeDocument/2006/relationships/hyperlink" Target="https://www.youtube.com/watch?v=QbzKij6Zx6s&amp;pp=ygUUR29ibGV0IExhdGVyYWwgU3F1YXQ%3D" TargetMode="External"/><Relationship Id="rId671" Type="http://schemas.openxmlformats.org/officeDocument/2006/relationships/hyperlink" Target="https://www.youtube.com/watch?v=sRHzrF357H4&amp;pp=ygUSUGxhbmsgUm93IFJvdGF0aW9u" TargetMode="External"/><Relationship Id="rId670" Type="http://schemas.openxmlformats.org/officeDocument/2006/relationships/hyperlink" Target="https://www.youtube.com/watch?v=Gtc_Ns3qYYo&amp;pp=ygUOICAgCSBQbGFuayBSb3c%3D" TargetMode="External"/><Relationship Id="rId1020" Type="http://schemas.openxmlformats.org/officeDocument/2006/relationships/hyperlink" Target="https://youtu.be/Z-erdZrQVCw" TargetMode="External"/><Relationship Id="rId1021" Type="http://schemas.openxmlformats.org/officeDocument/2006/relationships/hyperlink" Target="https://youtu.be/7SF7AYh2_Yw" TargetMode="External"/><Relationship Id="rId433" Type="http://schemas.openxmlformats.org/officeDocument/2006/relationships/hyperlink" Target="https://www.youtube.com/watch?v=m0AIU1dCVkU&amp;pp=ygUPR2x1dGUtSGFtIFJhaXNl" TargetMode="External"/><Relationship Id="rId675" Type="http://schemas.openxmlformats.org/officeDocument/2006/relationships/hyperlink" Target="https://www.youtube.com/watch?v=5FcS9IOWpSo&amp;pp=ygUVUGxhbmsgdG8gRG93bndhcmQgRG9n" TargetMode="External"/><Relationship Id="rId1022" Type="http://schemas.openxmlformats.org/officeDocument/2006/relationships/hyperlink" Target="https://youtu.be/t0dgz5Uxfqo" TargetMode="External"/><Relationship Id="rId432" Type="http://schemas.openxmlformats.org/officeDocument/2006/relationships/hyperlink" Target="https://www.youtube.com/watch?v=hPlKPjohFS0&amp;pp=ygUaR2x1dGUgRm9jdXNlZCBTcGxpdCBTcXVhdHM%3D" TargetMode="External"/><Relationship Id="rId674" Type="http://schemas.openxmlformats.org/officeDocument/2006/relationships/hyperlink" Target="https://www.youtube.com/watch?v=C6At19Q9i2Q&amp;pp=ygUbUGxhbmsgU2hvdWxkZXIgVGFwIHRvIFJhaXNl" TargetMode="External"/><Relationship Id="rId1023" Type="http://schemas.openxmlformats.org/officeDocument/2006/relationships/hyperlink" Target="https://youtu.be/M2rwvNhTOu0" TargetMode="External"/><Relationship Id="rId431" Type="http://schemas.openxmlformats.org/officeDocument/2006/relationships/hyperlink" Target="https://www.youtube.com/watch?v=WIcpu2UkJoY&amp;pp=ygURR2x1dGUgRm9jdXNlZCBSREw%3D" TargetMode="External"/><Relationship Id="rId673" Type="http://schemas.openxmlformats.org/officeDocument/2006/relationships/hyperlink" Target="https://www.youtube.com/shorts/9_IVZekYrgo" TargetMode="External"/><Relationship Id="rId1024" Type="http://schemas.openxmlformats.org/officeDocument/2006/relationships/hyperlink" Target="https://www.youtube.com/watch?v=YqkTy0TgHEA" TargetMode="External"/><Relationship Id="rId430" Type="http://schemas.openxmlformats.org/officeDocument/2006/relationships/hyperlink" Target="https://www.youtube.com/watch?v=YGUOyLf6BUg&amp;pp=ygU4R2x1dGUgRm9jdXNlZCBIaXAgRXh0ZW5zaW9uR2x1dGUgRm9jdXNlZCBIeXBlciBFeHRlbnNpb24%3D" TargetMode="External"/><Relationship Id="rId672" Type="http://schemas.openxmlformats.org/officeDocument/2006/relationships/hyperlink" Target="https://www.youtube.com/watch?v=vI7qyY2HVFY&amp;pp=ygUdUGxhbmsgUm93IHRvIFRyaWNlcCBFeHRlbnNpb24%3D" TargetMode="External"/><Relationship Id="rId1025" Type="http://schemas.openxmlformats.org/officeDocument/2006/relationships/hyperlink" Target="https://youtu.be/OOe_HrNnQ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0"/>
    <col customWidth="1" min="2" max="2" width="5.13"/>
    <col customWidth="1" min="3" max="3" width="28.25"/>
    <col customWidth="1" min="4" max="4" width="8.88"/>
    <col customWidth="1" min="5" max="6" width="6.38"/>
    <col customWidth="1" min="7" max="7" width="8.88"/>
    <col customWidth="1" min="8" max="8" width="7.63"/>
    <col customWidth="1" min="9" max="19" width="3.88"/>
    <col customWidth="1" min="20" max="20" width="33.25"/>
    <col customWidth="1" min="21" max="21" width="2.0"/>
  </cols>
  <sheetData>
    <row r="1" ht="31.5" customHeight="1">
      <c r="A1" s="1"/>
      <c r="B1" s="2" t="str">
        <f>HYPERLINK("https://wa.me/13106587414?text=Hello%20Michal", "WhatsApp Me")</f>
        <v>WhatsApp Me</v>
      </c>
      <c r="I1" s="2" t="str">
        <f>HYPERLINK("mailto:mfiala@fialafitness.com?subject=Training Inquiry", "Email Me")</f>
        <v>Email Me</v>
      </c>
      <c r="U1" s="1"/>
    </row>
    <row r="2" ht="37.5" customHeight="1">
      <c r="A2" s="3"/>
      <c r="B2" s="3"/>
      <c r="C2" s="3" t="s">
        <v>0</v>
      </c>
      <c r="D2" s="3" t="s">
        <v>1</v>
      </c>
      <c r="S2" s="3"/>
      <c r="T2" s="3" t="s">
        <v>2</v>
      </c>
      <c r="U2" s="3"/>
    </row>
    <row r="3" ht="37.5" customHeight="1">
      <c r="A3" s="4"/>
      <c r="B3" s="5"/>
      <c r="C3" s="5">
        <f>IF(WEEKDAY(DATE(YEAR(TODAY()), MONTH(TODAY()), 1), 2) = 7, 
    WEEKNUM(TODAY(), 2) - WEEKNUM(DATE(YEAR(TODAY()), MONTH(TODAY()), 2), 2) + 1, 
    WEEKNUM(TODAY(), 2) - WEEKNUM(DATE(YEAR(TODAY()), MONTH(TODAY()), 1), 2) + 1)</f>
        <v>5</v>
      </c>
      <c r="D3" s="6" t="s">
        <v>3</v>
      </c>
      <c r="F3" s="6" t="s">
        <v>4</v>
      </c>
      <c r="H3" s="6" t="s">
        <v>5</v>
      </c>
      <c r="K3" s="6" t="s">
        <v>6</v>
      </c>
      <c r="O3" s="6" t="s">
        <v>7</v>
      </c>
      <c r="S3" s="7"/>
      <c r="T3" s="8"/>
      <c r="U3" s="9"/>
    </row>
    <row r="4" ht="30.0" customHeight="1">
      <c r="A4" s="1"/>
      <c r="B4" s="10"/>
      <c r="C4" s="10" t="s">
        <v>8</v>
      </c>
      <c r="D4" s="10"/>
      <c r="E4" s="11" t="s">
        <v>9</v>
      </c>
      <c r="F4" s="11" t="s">
        <v>10</v>
      </c>
      <c r="G4" s="12" t="s">
        <v>11</v>
      </c>
      <c r="H4" s="11" t="s">
        <v>12</v>
      </c>
      <c r="I4" s="11" t="s">
        <v>13</v>
      </c>
      <c r="S4" s="11" t="s">
        <v>14</v>
      </c>
      <c r="T4" s="11" t="s">
        <v>15</v>
      </c>
      <c r="U4" s="1"/>
    </row>
    <row r="5" ht="45.0" customHeight="1">
      <c r="A5" s="13"/>
      <c r="B5" s="14" t="s">
        <v>3</v>
      </c>
      <c r="U5" s="13"/>
    </row>
    <row r="6" ht="18.75" customHeight="1">
      <c r="A6" s="13"/>
      <c r="B6" s="15" t="s">
        <v>16</v>
      </c>
      <c r="U6" s="16"/>
    </row>
    <row r="7" ht="30.0" customHeight="1">
      <c r="A7" s="13"/>
      <c r="B7" s="17"/>
      <c r="C7" s="18" t="b">
        <v>1</v>
      </c>
      <c r="D7" s="18"/>
      <c r="E7" s="19" t="str">
        <f>IFS(C7=FALSE, "⬅️ Check when DONE", C7=TRUE, "☑️ Workout Completed", TRUE, "")</f>
        <v>☑️ Workout Completed</v>
      </c>
      <c r="H7" s="19"/>
      <c r="I7" s="20">
        <v>1.0</v>
      </c>
      <c r="J7" s="20">
        <v>2.0</v>
      </c>
      <c r="K7" s="20">
        <v>3.0</v>
      </c>
      <c r="L7" s="20">
        <v>4.0</v>
      </c>
      <c r="M7" s="20">
        <v>5.0</v>
      </c>
      <c r="N7" s="20">
        <v>6.0</v>
      </c>
      <c r="O7" s="20">
        <v>7.0</v>
      </c>
      <c r="P7" s="20">
        <v>8.0</v>
      </c>
      <c r="Q7" s="20">
        <v>9.0</v>
      </c>
      <c r="R7" s="20">
        <v>10.0</v>
      </c>
      <c r="S7" s="21"/>
      <c r="T7" s="22">
        <v>45675.0</v>
      </c>
      <c r="U7" s="23"/>
    </row>
    <row r="8" ht="26.25" customHeight="1">
      <c r="A8" s="13"/>
      <c r="B8" s="24" t="s">
        <v>17</v>
      </c>
      <c r="C8" s="25" t="s">
        <v>18</v>
      </c>
      <c r="D8" s="26"/>
      <c r="E8" s="24">
        <v>4.0</v>
      </c>
      <c r="F8" s="27">
        <v>10.0</v>
      </c>
      <c r="G8" s="27"/>
      <c r="H8" s="24"/>
      <c r="I8" s="28">
        <v>55.0</v>
      </c>
      <c r="J8" s="28">
        <v>60.0</v>
      </c>
      <c r="K8" s="28">
        <v>60.0</v>
      </c>
      <c r="L8" s="28">
        <v>60.0</v>
      </c>
      <c r="M8" s="28"/>
      <c r="N8" s="28"/>
      <c r="O8" s="28"/>
      <c r="P8" s="28"/>
      <c r="Q8" s="28"/>
      <c r="R8" s="28"/>
      <c r="S8" s="29"/>
      <c r="T8" s="30"/>
    </row>
    <row r="9" ht="26.25" customHeight="1">
      <c r="A9" s="13"/>
      <c r="B9" s="24" t="s">
        <v>17</v>
      </c>
      <c r="C9" s="25" t="s">
        <v>19</v>
      </c>
      <c r="D9" s="26"/>
      <c r="E9" s="24">
        <v>4.0</v>
      </c>
      <c r="F9" s="27">
        <v>10.0</v>
      </c>
      <c r="G9" s="27"/>
      <c r="H9" s="24"/>
      <c r="I9" s="28"/>
      <c r="J9" s="28"/>
      <c r="K9" s="28"/>
      <c r="L9" s="28"/>
      <c r="M9" s="28"/>
      <c r="N9" s="28"/>
      <c r="O9" s="28"/>
      <c r="P9" s="28"/>
      <c r="Q9" s="28"/>
      <c r="R9" s="28"/>
      <c r="S9" s="29"/>
      <c r="T9" s="31" t="s">
        <v>20</v>
      </c>
    </row>
    <row r="10" ht="26.25" customHeight="1">
      <c r="A10" s="13"/>
      <c r="B10" s="24" t="s">
        <v>21</v>
      </c>
      <c r="C10" s="25" t="s">
        <v>22</v>
      </c>
      <c r="D10" s="26"/>
      <c r="E10" s="24">
        <v>4.0</v>
      </c>
      <c r="F10" s="27">
        <v>10.0</v>
      </c>
      <c r="G10" s="27"/>
      <c r="H10" s="24"/>
      <c r="I10" s="28">
        <v>35.0</v>
      </c>
      <c r="J10" s="28">
        <v>35.0</v>
      </c>
      <c r="K10" s="28">
        <v>35.0</v>
      </c>
      <c r="L10" s="28">
        <v>35.0</v>
      </c>
      <c r="M10" s="28"/>
      <c r="N10" s="28"/>
      <c r="O10" s="28"/>
      <c r="P10" s="28"/>
      <c r="Q10" s="28"/>
      <c r="R10" s="28"/>
      <c r="S10" s="31"/>
      <c r="T10" s="31"/>
    </row>
    <row r="11" ht="26.25" customHeight="1">
      <c r="A11" s="13"/>
      <c r="B11" s="24" t="s">
        <v>21</v>
      </c>
      <c r="C11" s="25" t="s">
        <v>23</v>
      </c>
      <c r="D11" s="26"/>
      <c r="E11" s="24">
        <v>4.0</v>
      </c>
      <c r="F11" s="27">
        <v>10.0</v>
      </c>
      <c r="G11" s="27"/>
      <c r="H11" s="24"/>
      <c r="I11" s="28">
        <v>35.0</v>
      </c>
      <c r="J11" s="28">
        <v>35.0</v>
      </c>
      <c r="K11" s="28">
        <v>35.0</v>
      </c>
      <c r="L11" s="28">
        <v>35.0</v>
      </c>
      <c r="M11" s="28"/>
      <c r="N11" s="28"/>
      <c r="O11" s="28"/>
      <c r="P11" s="28"/>
      <c r="Q11" s="28"/>
      <c r="R11" s="28"/>
      <c r="S11" s="31"/>
      <c r="T11" s="31"/>
    </row>
    <row r="12" ht="26.25" customHeight="1">
      <c r="A12" s="13"/>
      <c r="B12" s="30"/>
      <c r="C12" s="32" t="str">
        <f>IF(D12&lt;&gt;"", HYPERLINK(VLOOKUP(D12, DATA!H:K, 4, FALSE), D12), "")</f>
        <v/>
      </c>
      <c r="D12" s="33"/>
      <c r="E12" s="30"/>
      <c r="F12" s="27"/>
      <c r="G12" s="27"/>
      <c r="H12" s="30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1"/>
    </row>
    <row r="13" ht="26.25" customHeight="1">
      <c r="A13" s="13"/>
      <c r="B13" s="35"/>
      <c r="C13" s="32" t="str">
        <f>IF(D13&lt;&gt;"", HYPERLINK(VLOOKUP(D13, DATA!H:K, 4, FALSE), D13), "")</f>
        <v/>
      </c>
      <c r="D13" s="33"/>
      <c r="E13" s="30"/>
      <c r="F13" s="27"/>
      <c r="G13" s="27"/>
      <c r="H13" s="30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1"/>
    </row>
    <row r="14" ht="26.25" customHeight="1">
      <c r="A14" s="13"/>
      <c r="B14" s="36"/>
      <c r="C14" s="32" t="str">
        <f>IF(D14&lt;&gt;"", HYPERLINK(VLOOKUP(D14, DATA!H:K, 4, FALSE), D14), "")</f>
        <v/>
      </c>
      <c r="D14" s="33"/>
      <c r="E14" s="30"/>
      <c r="F14" s="27"/>
      <c r="G14" s="27"/>
      <c r="H14" s="30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1"/>
    </row>
    <row r="15" ht="26.25" customHeight="1">
      <c r="A15" s="13"/>
      <c r="B15" s="31"/>
      <c r="C15" s="32" t="str">
        <f>IF(D15&lt;&gt;"", HYPERLINK(VLOOKUP(D15, DATA!H:K, 4, FALSE), D15), "")</f>
        <v/>
      </c>
      <c r="D15" s="33"/>
      <c r="E15" s="30"/>
      <c r="F15" s="27"/>
      <c r="G15" s="27"/>
      <c r="H15" s="30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28"/>
      <c r="T15" s="31"/>
    </row>
    <row r="16" ht="11.25" customHeight="1">
      <c r="A16" s="13"/>
      <c r="B16" s="37"/>
    </row>
    <row r="17" ht="11.25" customHeight="1">
      <c r="A17" s="13"/>
      <c r="B17" s="16"/>
      <c r="U17" s="16"/>
    </row>
    <row r="18" ht="18.75" customHeight="1">
      <c r="A18" s="13"/>
      <c r="B18" s="15" t="s">
        <v>24</v>
      </c>
      <c r="U18" s="16"/>
    </row>
    <row r="19" ht="30.0" customHeight="1">
      <c r="A19" s="13"/>
      <c r="B19" s="17"/>
      <c r="C19" s="18" t="b">
        <v>1</v>
      </c>
      <c r="D19" s="18"/>
      <c r="E19" s="19" t="str">
        <f>IFS(C19=FALSE, "⬅️ Check when DONE", C19=TRUE, "☑️ Workout Completed", TRUE, "")</f>
        <v>☑️ Workout Completed</v>
      </c>
      <c r="H19" s="19"/>
      <c r="I19" s="20">
        <v>1.0</v>
      </c>
      <c r="J19" s="20">
        <v>2.0</v>
      </c>
      <c r="K19" s="20">
        <v>3.0</v>
      </c>
      <c r="L19" s="20">
        <v>4.0</v>
      </c>
      <c r="M19" s="20">
        <v>5.0</v>
      </c>
      <c r="N19" s="20">
        <v>6.0</v>
      </c>
      <c r="O19" s="20">
        <v>7.0</v>
      </c>
      <c r="P19" s="20">
        <v>8.0</v>
      </c>
      <c r="Q19" s="20">
        <v>9.0</v>
      </c>
      <c r="R19" s="20">
        <v>10.0</v>
      </c>
      <c r="S19" s="20"/>
      <c r="T19" s="22">
        <v>45676.0</v>
      </c>
      <c r="U19" s="23"/>
    </row>
    <row r="20" ht="26.25" customHeight="1">
      <c r="A20" s="13"/>
      <c r="B20" s="24" t="s">
        <v>17</v>
      </c>
      <c r="C20" s="25" t="s">
        <v>25</v>
      </c>
      <c r="D20" s="26"/>
      <c r="E20" s="24">
        <v>4.0</v>
      </c>
      <c r="F20" s="27">
        <v>10.0</v>
      </c>
      <c r="G20" s="27"/>
      <c r="H20" s="24"/>
      <c r="I20" s="34">
        <v>35.0</v>
      </c>
      <c r="J20" s="34">
        <v>35.0</v>
      </c>
      <c r="K20" s="34">
        <v>35.0</v>
      </c>
      <c r="L20" s="34">
        <v>35.0</v>
      </c>
      <c r="M20" s="34"/>
      <c r="N20" s="34"/>
      <c r="O20" s="34"/>
      <c r="P20" s="34"/>
      <c r="Q20" s="34"/>
      <c r="R20" s="34"/>
      <c r="S20" s="30"/>
      <c r="T20" s="30"/>
    </row>
    <row r="21" ht="26.25" customHeight="1">
      <c r="A21" s="13"/>
      <c r="B21" s="30" t="s">
        <v>26</v>
      </c>
      <c r="C21" s="25" t="s">
        <v>27</v>
      </c>
      <c r="D21" s="26"/>
      <c r="E21" s="24">
        <v>4.0</v>
      </c>
      <c r="F21" s="27">
        <v>10.0</v>
      </c>
      <c r="G21" s="27"/>
      <c r="H21" s="24"/>
      <c r="I21" s="34">
        <v>25.0</v>
      </c>
      <c r="J21" s="34">
        <v>25.0</v>
      </c>
      <c r="K21" s="34">
        <v>25.0</v>
      </c>
      <c r="L21" s="34">
        <v>25.0</v>
      </c>
      <c r="M21" s="34"/>
      <c r="N21" s="34"/>
      <c r="O21" s="34"/>
      <c r="P21" s="34"/>
      <c r="Q21" s="34"/>
      <c r="R21" s="34"/>
      <c r="S21" s="30"/>
      <c r="T21" s="31"/>
    </row>
    <row r="22" ht="26.25" customHeight="1">
      <c r="A22" s="13"/>
      <c r="B22" s="30" t="s">
        <v>21</v>
      </c>
      <c r="C22" s="25" t="s">
        <v>28</v>
      </c>
      <c r="D22" s="26"/>
      <c r="E22" s="24">
        <v>4.0</v>
      </c>
      <c r="F22" s="27">
        <v>10.0</v>
      </c>
      <c r="G22" s="27"/>
      <c r="H22" s="24"/>
      <c r="I22" s="28">
        <v>50.0</v>
      </c>
      <c r="J22" s="28">
        <v>50.0</v>
      </c>
      <c r="K22" s="28">
        <v>50.0</v>
      </c>
      <c r="L22" s="28">
        <v>50.0</v>
      </c>
      <c r="M22" s="34"/>
      <c r="N22" s="34"/>
      <c r="O22" s="34"/>
      <c r="P22" s="34"/>
      <c r="Q22" s="34"/>
      <c r="R22" s="34"/>
      <c r="S22" s="30"/>
      <c r="T22" s="31"/>
    </row>
    <row r="23" ht="26.25" customHeight="1">
      <c r="A23" s="13"/>
      <c r="B23" s="30"/>
      <c r="C23" s="32"/>
      <c r="D23" s="33"/>
      <c r="E23" s="30"/>
      <c r="F23" s="38"/>
      <c r="G23" s="38"/>
      <c r="H23" s="30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0"/>
      <c r="T23" s="31"/>
    </row>
    <row r="24" ht="26.25" customHeight="1">
      <c r="A24" s="13"/>
      <c r="B24" s="30"/>
      <c r="C24" s="32" t="str">
        <f>IF(D24&lt;&gt;"", HYPERLINK(VLOOKUP(D24, DATA!H:K, 4, FALSE), D24), "")</f>
        <v/>
      </c>
      <c r="D24" s="33"/>
      <c r="E24" s="30"/>
      <c r="F24" s="27"/>
      <c r="G24" s="38"/>
      <c r="H24" s="3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1"/>
    </row>
    <row r="25" ht="26.25" customHeight="1">
      <c r="A25" s="13"/>
      <c r="B25" s="35"/>
      <c r="C25" s="32" t="str">
        <f>IF(D25&lt;&gt;"", HYPERLINK(VLOOKUP(D25, DATA!H:K, 4, FALSE), D25), "")</f>
        <v/>
      </c>
      <c r="D25" s="33"/>
      <c r="E25" s="30"/>
      <c r="F25" s="27"/>
      <c r="G25" s="38"/>
      <c r="H25" s="30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1"/>
    </row>
    <row r="26" ht="26.25" customHeight="1">
      <c r="A26" s="13"/>
      <c r="B26" s="36"/>
      <c r="C26" s="32" t="str">
        <f>IF(D26&lt;&gt;"", HYPERLINK(VLOOKUP(D26, DATA!H:K, 4, FALSE), D26), "")</f>
        <v/>
      </c>
      <c r="D26" s="33"/>
      <c r="E26" s="30"/>
      <c r="F26" s="27"/>
      <c r="G26" s="38"/>
      <c r="H26" s="30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1"/>
    </row>
    <row r="27" ht="26.25" customHeight="1">
      <c r="A27" s="13"/>
      <c r="B27" s="31"/>
      <c r="C27" s="32" t="str">
        <f>IF(D27&lt;&gt;"", HYPERLINK(VLOOKUP(D27, DATA!H:K, 4, FALSE), D27), "")</f>
        <v/>
      </c>
      <c r="D27" s="33"/>
      <c r="E27" s="30"/>
      <c r="F27" s="27"/>
      <c r="G27" s="38"/>
      <c r="H27" s="30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28"/>
      <c r="T27" s="31"/>
    </row>
    <row r="28" ht="11.25" customHeight="1">
      <c r="A28" s="13"/>
      <c r="B28" s="37"/>
    </row>
    <row r="29" ht="11.25" customHeight="1">
      <c r="A29" s="13"/>
      <c r="B29" s="16"/>
      <c r="U29" s="16"/>
    </row>
    <row r="30" ht="18.75" customHeight="1">
      <c r="A30" s="13"/>
      <c r="B30" s="15" t="s">
        <v>29</v>
      </c>
      <c r="U30" s="16"/>
    </row>
    <row r="31" ht="30.0" customHeight="1">
      <c r="A31" s="13"/>
      <c r="B31" s="17"/>
      <c r="C31" s="18" t="b">
        <v>1</v>
      </c>
      <c r="D31" s="18"/>
      <c r="E31" s="19" t="str">
        <f>IFS(C31=FALSE, "⬅️ Check when DONE", C31=TRUE, "☑️ Workout Completed", TRUE, "")</f>
        <v>☑️ Workout Completed</v>
      </c>
      <c r="H31" s="19"/>
      <c r="I31" s="20">
        <v>1.0</v>
      </c>
      <c r="J31" s="20">
        <v>2.0</v>
      </c>
      <c r="K31" s="20">
        <v>3.0</v>
      </c>
      <c r="L31" s="20">
        <v>4.0</v>
      </c>
      <c r="M31" s="20">
        <v>5.0</v>
      </c>
      <c r="N31" s="20">
        <v>6.0</v>
      </c>
      <c r="O31" s="20">
        <v>7.0</v>
      </c>
      <c r="P31" s="20">
        <v>8.0</v>
      </c>
      <c r="Q31" s="20">
        <v>9.0</v>
      </c>
      <c r="R31" s="20">
        <v>10.0</v>
      </c>
      <c r="S31" s="20"/>
      <c r="T31" s="22">
        <v>45677.0</v>
      </c>
      <c r="U31" s="23"/>
    </row>
    <row r="32" ht="26.25" customHeight="1">
      <c r="A32" s="13"/>
      <c r="B32" s="30" t="s">
        <v>17</v>
      </c>
      <c r="C32" s="32" t="s">
        <v>30</v>
      </c>
      <c r="D32" s="33"/>
      <c r="E32" s="30"/>
      <c r="F32" s="27"/>
      <c r="G32" s="38"/>
      <c r="H32" s="30"/>
      <c r="I32" s="34">
        <v>85.0</v>
      </c>
      <c r="J32" s="34">
        <v>95.0</v>
      </c>
      <c r="K32" s="34">
        <v>95.0</v>
      </c>
      <c r="L32" s="34">
        <v>95.0</v>
      </c>
      <c r="M32" s="34"/>
      <c r="N32" s="34"/>
      <c r="O32" s="34"/>
      <c r="P32" s="34"/>
      <c r="Q32" s="34"/>
      <c r="R32" s="34"/>
      <c r="S32" s="34"/>
      <c r="T32" s="30" t="s">
        <v>31</v>
      </c>
    </row>
    <row r="33" ht="26.25" customHeight="1">
      <c r="A33" s="13"/>
      <c r="B33" s="30"/>
      <c r="C33" s="32" t="str">
        <f>IF(D33&lt;&gt;"", HYPERLINK(VLOOKUP(D33, DATA!H:K, 4, FALSE), D33), "")</f>
        <v/>
      </c>
      <c r="D33" s="33"/>
      <c r="E33" s="30"/>
      <c r="F33" s="27"/>
      <c r="G33" s="38"/>
      <c r="H33" s="30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1"/>
    </row>
    <row r="34" ht="26.25" customHeight="1">
      <c r="A34" s="13"/>
      <c r="B34" s="30"/>
      <c r="C34" s="32" t="str">
        <f>IF(D34&lt;&gt;"", HYPERLINK(VLOOKUP(D34, DATA!H:K, 4, FALSE), D34), "")</f>
        <v/>
      </c>
      <c r="D34" s="33"/>
      <c r="E34" s="30"/>
      <c r="F34" s="27"/>
      <c r="G34" s="38"/>
      <c r="H34" s="30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1"/>
    </row>
    <row r="35" ht="26.25" customHeight="1">
      <c r="A35" s="13"/>
      <c r="B35" s="30"/>
      <c r="C35" s="32" t="str">
        <f>IF(D35&lt;&gt;"", HYPERLINK(VLOOKUP(D35, DATA!H:K, 4, FALSE), D35), "")</f>
        <v/>
      </c>
      <c r="D35" s="33"/>
      <c r="E35" s="30"/>
      <c r="F35" s="27"/>
      <c r="G35" s="38"/>
      <c r="H35" s="30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1"/>
    </row>
    <row r="36" ht="26.25" customHeight="1">
      <c r="A36" s="13"/>
      <c r="B36" s="30"/>
      <c r="C36" s="32" t="str">
        <f>IF(D36&lt;&gt;"", HYPERLINK(VLOOKUP(D36, DATA!H:K, 4, FALSE), D36), "")</f>
        <v/>
      </c>
      <c r="D36" s="33"/>
      <c r="E36" s="30"/>
      <c r="F36" s="27"/>
      <c r="G36" s="38"/>
      <c r="H36" s="3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1"/>
    </row>
    <row r="37" ht="26.25" customHeight="1">
      <c r="A37" s="13"/>
      <c r="B37" s="35"/>
      <c r="C37" s="32" t="str">
        <f>IF(D37&lt;&gt;"", HYPERLINK(VLOOKUP(D37, DATA!H:K, 4, FALSE), D37), "")</f>
        <v/>
      </c>
      <c r="D37" s="33"/>
      <c r="E37" s="30"/>
      <c r="F37" s="27"/>
      <c r="G37" s="38"/>
      <c r="H37" s="30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1"/>
    </row>
    <row r="38" ht="26.25" customHeight="1">
      <c r="A38" s="13"/>
      <c r="B38" s="36"/>
      <c r="C38" s="32" t="str">
        <f>IF(D38&lt;&gt;"", HYPERLINK(VLOOKUP(D38, DATA!H:K, 4, FALSE), D38), "")</f>
        <v/>
      </c>
      <c r="D38" s="33"/>
      <c r="E38" s="30"/>
      <c r="F38" s="27"/>
      <c r="G38" s="38"/>
      <c r="H38" s="30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1"/>
    </row>
    <row r="39" ht="26.25" customHeight="1">
      <c r="A39" s="13"/>
      <c r="B39" s="31"/>
      <c r="C39" s="32" t="str">
        <f>IF(D39&lt;&gt;"", HYPERLINK(VLOOKUP(D39, DATA!H:K, 4, FALSE), D39), "")</f>
        <v/>
      </c>
      <c r="D39" s="33"/>
      <c r="E39" s="30"/>
      <c r="F39" s="27"/>
      <c r="G39" s="38"/>
      <c r="H39" s="30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28"/>
      <c r="T39" s="31"/>
    </row>
    <row r="40" ht="11.25" customHeight="1">
      <c r="A40" s="13"/>
      <c r="B40" s="37"/>
    </row>
    <row r="41" ht="11.25" customHeight="1">
      <c r="A41" s="13"/>
      <c r="B41" s="39"/>
      <c r="U41" s="16"/>
    </row>
    <row r="42" ht="18.75" customHeight="1">
      <c r="A42" s="13"/>
      <c r="B42" s="15" t="s">
        <v>32</v>
      </c>
      <c r="U42" s="16"/>
    </row>
    <row r="43" ht="30.0" customHeight="1">
      <c r="A43" s="13"/>
      <c r="B43" s="17"/>
      <c r="C43" s="18" t="b">
        <v>1</v>
      </c>
      <c r="D43" s="18"/>
      <c r="E43" s="19" t="str">
        <f>IFS(C43=FALSE, "⬅️ Check when DONE", C43=TRUE, "☑️ Workout Completed", TRUE, "")</f>
        <v>☑️ Workout Completed</v>
      </c>
      <c r="H43" s="19"/>
      <c r="I43" s="20">
        <v>1.0</v>
      </c>
      <c r="J43" s="20">
        <v>2.0</v>
      </c>
      <c r="K43" s="20">
        <v>3.0</v>
      </c>
      <c r="L43" s="20">
        <v>4.0</v>
      </c>
      <c r="M43" s="20">
        <v>5.0</v>
      </c>
      <c r="N43" s="20">
        <v>6.0</v>
      </c>
      <c r="O43" s="20">
        <v>7.0</v>
      </c>
      <c r="P43" s="20">
        <v>8.0</v>
      </c>
      <c r="Q43" s="20">
        <v>9.0</v>
      </c>
      <c r="R43" s="20">
        <v>10.0</v>
      </c>
      <c r="S43" s="40"/>
      <c r="T43" s="22">
        <v>45681.0</v>
      </c>
      <c r="U43" s="23"/>
    </row>
    <row r="44" ht="26.25" customHeight="1">
      <c r="A44" s="13"/>
      <c r="B44" s="24" t="s">
        <v>17</v>
      </c>
      <c r="C44" s="25" t="s">
        <v>18</v>
      </c>
      <c r="D44" s="26"/>
      <c r="E44" s="24">
        <v>4.0</v>
      </c>
      <c r="F44" s="27">
        <v>10.0</v>
      </c>
      <c r="G44" s="27"/>
      <c r="H44" s="24"/>
      <c r="I44" s="28">
        <v>55.0</v>
      </c>
      <c r="J44" s="28">
        <v>60.0</v>
      </c>
      <c r="K44" s="28">
        <v>60.0</v>
      </c>
      <c r="L44" s="28">
        <v>60.0</v>
      </c>
      <c r="M44" s="28"/>
      <c r="N44" s="28"/>
      <c r="O44" s="28"/>
      <c r="P44" s="28"/>
      <c r="Q44" s="28"/>
      <c r="R44" s="28"/>
      <c r="S44" s="31"/>
      <c r="T44" s="30"/>
    </row>
    <row r="45" ht="26.25" customHeight="1">
      <c r="A45" s="13"/>
      <c r="B45" s="24" t="s">
        <v>17</v>
      </c>
      <c r="C45" s="25" t="s">
        <v>19</v>
      </c>
      <c r="D45" s="26"/>
      <c r="E45" s="24">
        <v>4.0</v>
      </c>
      <c r="F45" s="27">
        <v>10.0</v>
      </c>
      <c r="G45" s="27"/>
      <c r="H45" s="24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31"/>
      <c r="T45" s="31" t="s">
        <v>20</v>
      </c>
    </row>
    <row r="46" ht="26.25" customHeight="1">
      <c r="A46" s="13"/>
      <c r="B46" s="24" t="s">
        <v>21</v>
      </c>
      <c r="C46" s="25" t="s">
        <v>22</v>
      </c>
      <c r="D46" s="26"/>
      <c r="E46" s="24">
        <v>4.0</v>
      </c>
      <c r="F46" s="27">
        <v>10.0</v>
      </c>
      <c r="G46" s="27"/>
      <c r="H46" s="24"/>
      <c r="I46" s="28">
        <v>35.0</v>
      </c>
      <c r="J46" s="28">
        <v>35.0</v>
      </c>
      <c r="K46" s="28">
        <v>35.0</v>
      </c>
      <c r="L46" s="28">
        <v>35.0</v>
      </c>
      <c r="M46" s="28"/>
      <c r="N46" s="28"/>
      <c r="O46" s="28"/>
      <c r="P46" s="28"/>
      <c r="Q46" s="28"/>
      <c r="R46" s="28"/>
      <c r="S46" s="31"/>
      <c r="T46" s="31"/>
    </row>
    <row r="47" ht="26.25" customHeight="1">
      <c r="A47" s="13"/>
      <c r="B47" s="24" t="s">
        <v>21</v>
      </c>
      <c r="C47" s="25" t="s">
        <v>23</v>
      </c>
      <c r="D47" s="26"/>
      <c r="E47" s="24">
        <v>4.0</v>
      </c>
      <c r="F47" s="27">
        <v>10.0</v>
      </c>
      <c r="G47" s="27"/>
      <c r="H47" s="24"/>
      <c r="I47" s="28">
        <v>35.0</v>
      </c>
      <c r="J47" s="28">
        <v>35.0</v>
      </c>
      <c r="K47" s="28">
        <v>35.0</v>
      </c>
      <c r="L47" s="28">
        <v>35.0</v>
      </c>
      <c r="M47" s="28"/>
      <c r="N47" s="28"/>
      <c r="O47" s="28"/>
      <c r="P47" s="28"/>
      <c r="Q47" s="28"/>
      <c r="R47" s="28"/>
      <c r="S47" s="31"/>
      <c r="T47" s="31"/>
    </row>
    <row r="48" ht="26.25" customHeight="1">
      <c r="A48" s="13"/>
      <c r="B48" s="30"/>
      <c r="C48" s="32" t="str">
        <f>IF(D48&lt;&gt;"", HYPERLINK(VLOOKUP(D48, DATA!H:K, 4, FALSE), D48), "")</f>
        <v/>
      </c>
      <c r="D48" s="33"/>
      <c r="E48" s="30"/>
      <c r="F48" s="27"/>
      <c r="G48" s="38"/>
      <c r="H48" s="30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1"/>
    </row>
    <row r="49" ht="26.25" customHeight="1">
      <c r="A49" s="13"/>
      <c r="B49" s="35"/>
      <c r="C49" s="32" t="str">
        <f>IF(D49&lt;&gt;"", HYPERLINK(VLOOKUP(D49, DATA!H:K, 4, FALSE), D49), "")</f>
        <v/>
      </c>
      <c r="D49" s="33"/>
      <c r="E49" s="30"/>
      <c r="F49" s="27"/>
      <c r="G49" s="38"/>
      <c r="H49" s="30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1"/>
    </row>
    <row r="50" ht="26.25" customHeight="1">
      <c r="A50" s="13"/>
      <c r="B50" s="36"/>
      <c r="C50" s="32" t="str">
        <f>IF(D50&lt;&gt;"", HYPERLINK(VLOOKUP(D50, DATA!H:K, 4, FALSE), D50), "")</f>
        <v/>
      </c>
      <c r="D50" s="33"/>
      <c r="E50" s="30"/>
      <c r="F50" s="27"/>
      <c r="G50" s="38"/>
      <c r="H50" s="30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1"/>
    </row>
    <row r="51" ht="26.25" customHeight="1">
      <c r="A51" s="13"/>
      <c r="B51" s="31"/>
      <c r="C51" s="32" t="str">
        <f>IF(D51&lt;&gt;"", HYPERLINK(VLOOKUP(D51, DATA!H:K, 4, FALSE), D51), "")</f>
        <v/>
      </c>
      <c r="D51" s="33"/>
      <c r="E51" s="30"/>
      <c r="F51" s="27"/>
      <c r="G51" s="38"/>
      <c r="H51" s="30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28"/>
      <c r="T51" s="31"/>
    </row>
    <row r="52" ht="11.25" customHeight="1">
      <c r="A52" s="13"/>
      <c r="B52" s="37"/>
    </row>
    <row r="53" ht="11.25" customHeight="1">
      <c r="A53" s="13"/>
      <c r="B53" s="39"/>
      <c r="U53" s="16"/>
    </row>
    <row r="54" ht="18.75" customHeight="1">
      <c r="A54" s="13"/>
      <c r="B54" s="15" t="s">
        <v>33</v>
      </c>
      <c r="U54" s="16"/>
    </row>
    <row r="55" ht="30.0" customHeight="1">
      <c r="A55" s="13"/>
      <c r="B55" s="17"/>
      <c r="C55" s="18" t="b">
        <v>1</v>
      </c>
      <c r="D55" s="18"/>
      <c r="E55" s="19" t="str">
        <f>IFS(C55=FALSE, "⬅️ Check when DONE", C55=TRUE, "☑️ Workout Completed", TRUE, "")</f>
        <v>☑️ Workout Completed</v>
      </c>
      <c r="H55" s="19"/>
      <c r="I55" s="20">
        <v>1.0</v>
      </c>
      <c r="J55" s="20">
        <v>2.0</v>
      </c>
      <c r="K55" s="20">
        <v>3.0</v>
      </c>
      <c r="L55" s="20">
        <v>4.0</v>
      </c>
      <c r="M55" s="20">
        <v>5.0</v>
      </c>
      <c r="N55" s="20">
        <v>6.0</v>
      </c>
      <c r="O55" s="20">
        <v>7.0</v>
      </c>
      <c r="P55" s="20">
        <v>8.0</v>
      </c>
      <c r="Q55" s="20">
        <v>9.0</v>
      </c>
      <c r="R55" s="20">
        <v>10.0</v>
      </c>
      <c r="S55" s="20"/>
      <c r="T55" s="22">
        <v>45682.0</v>
      </c>
      <c r="U55" s="23"/>
    </row>
    <row r="56" ht="26.25" customHeight="1">
      <c r="A56" s="13"/>
      <c r="B56" s="24" t="s">
        <v>17</v>
      </c>
      <c r="C56" s="25" t="s">
        <v>25</v>
      </c>
      <c r="D56" s="26"/>
      <c r="E56" s="24">
        <v>4.0</v>
      </c>
      <c r="F56" s="27">
        <v>10.0</v>
      </c>
      <c r="G56" s="27"/>
      <c r="H56" s="24"/>
      <c r="I56" s="34">
        <v>35.0</v>
      </c>
      <c r="J56" s="34">
        <v>35.0</v>
      </c>
      <c r="K56" s="34">
        <v>35.0</v>
      </c>
      <c r="L56" s="34">
        <v>35.0</v>
      </c>
      <c r="M56" s="34"/>
      <c r="N56" s="34"/>
      <c r="O56" s="34"/>
      <c r="P56" s="34"/>
      <c r="Q56" s="34"/>
      <c r="R56" s="34"/>
      <c r="S56" s="34"/>
      <c r="T56" s="30" t="s">
        <v>34</v>
      </c>
    </row>
    <row r="57" ht="26.25" customHeight="1">
      <c r="A57" s="13"/>
      <c r="B57" s="30" t="s">
        <v>26</v>
      </c>
      <c r="C57" s="25" t="s">
        <v>27</v>
      </c>
      <c r="D57" s="26"/>
      <c r="E57" s="24">
        <v>4.0</v>
      </c>
      <c r="F57" s="27">
        <v>10.0</v>
      </c>
      <c r="G57" s="27"/>
      <c r="H57" s="24"/>
      <c r="I57" s="34">
        <v>30.0</v>
      </c>
      <c r="J57" s="34">
        <v>30.0</v>
      </c>
      <c r="K57" s="34">
        <v>30.0</v>
      </c>
      <c r="L57" s="34">
        <v>30.0</v>
      </c>
      <c r="M57" s="34"/>
      <c r="N57" s="34"/>
      <c r="O57" s="34"/>
      <c r="P57" s="34"/>
      <c r="Q57" s="34"/>
      <c r="R57" s="34"/>
      <c r="S57" s="34"/>
      <c r="T57" s="31"/>
    </row>
    <row r="58" ht="26.25" customHeight="1">
      <c r="A58" s="13"/>
      <c r="B58" s="30" t="s">
        <v>21</v>
      </c>
      <c r="C58" s="25" t="s">
        <v>28</v>
      </c>
      <c r="D58" s="26"/>
      <c r="E58" s="24">
        <v>4.0</v>
      </c>
      <c r="F58" s="27">
        <v>10.0</v>
      </c>
      <c r="G58" s="27"/>
      <c r="H58" s="24"/>
      <c r="I58" s="28">
        <v>50.0</v>
      </c>
      <c r="J58" s="28">
        <v>50.0</v>
      </c>
      <c r="K58" s="28">
        <v>50.0</v>
      </c>
      <c r="L58" s="28">
        <v>50.0</v>
      </c>
      <c r="M58" s="34"/>
      <c r="N58" s="34"/>
      <c r="O58" s="34"/>
      <c r="P58" s="34"/>
      <c r="Q58" s="34"/>
      <c r="R58" s="34"/>
      <c r="S58" s="34"/>
      <c r="T58" s="31"/>
    </row>
    <row r="59" ht="26.25" customHeight="1">
      <c r="A59" s="13"/>
      <c r="B59" s="30"/>
      <c r="C59" s="32" t="str">
        <f>IF(D59&lt;&gt;"", HYPERLINK(VLOOKUP(D59, DATA!H:K, 4, FALSE), D59), "")</f>
        <v/>
      </c>
      <c r="D59" s="33"/>
      <c r="E59" s="30"/>
      <c r="F59" s="27"/>
      <c r="G59" s="38"/>
      <c r="H59" s="30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1"/>
    </row>
    <row r="60" ht="26.25" customHeight="1">
      <c r="A60" s="13"/>
      <c r="B60" s="30"/>
      <c r="C60" s="32" t="str">
        <f>IF(D60&lt;&gt;"", HYPERLINK(VLOOKUP(D60, DATA!H:K, 4, FALSE), D60), "")</f>
        <v/>
      </c>
      <c r="D60" s="33"/>
      <c r="E60" s="30"/>
      <c r="F60" s="27"/>
      <c r="G60" s="38"/>
      <c r="H60" s="30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1"/>
    </row>
    <row r="61" ht="26.25" customHeight="1">
      <c r="A61" s="13"/>
      <c r="B61" s="35"/>
      <c r="C61" s="32" t="str">
        <f>IF(D61&lt;&gt;"", HYPERLINK(VLOOKUP(D61, DATA!H:K, 4, FALSE), D61), "")</f>
        <v/>
      </c>
      <c r="D61" s="33"/>
      <c r="E61" s="30"/>
      <c r="F61" s="27"/>
      <c r="G61" s="38"/>
      <c r="H61" s="30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1"/>
    </row>
    <row r="62" ht="26.25" customHeight="1">
      <c r="A62" s="13"/>
      <c r="B62" s="36"/>
      <c r="C62" s="32" t="str">
        <f>IF(D62&lt;&gt;"", HYPERLINK(VLOOKUP(D62, DATA!H:K, 4, FALSE), D62), "")</f>
        <v/>
      </c>
      <c r="D62" s="33"/>
      <c r="E62" s="30"/>
      <c r="F62" s="27"/>
      <c r="G62" s="38"/>
      <c r="H62" s="30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1"/>
    </row>
    <row r="63" ht="26.25" customHeight="1">
      <c r="A63" s="13"/>
      <c r="B63" s="31"/>
      <c r="C63" s="32" t="str">
        <f>IF(D63&lt;&gt;"", HYPERLINK(VLOOKUP(D63, DATA!H:K, 4, FALSE), D63), "")</f>
        <v/>
      </c>
      <c r="D63" s="33"/>
      <c r="E63" s="30"/>
      <c r="F63" s="27"/>
      <c r="G63" s="38"/>
      <c r="H63" s="30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28"/>
      <c r="T63" s="31"/>
    </row>
    <row r="64" ht="11.25" customHeight="1">
      <c r="A64" s="13"/>
      <c r="B64" s="37"/>
    </row>
    <row r="65" ht="11.25" customHeight="1">
      <c r="A65" s="13"/>
      <c r="B65" s="39"/>
      <c r="U65" s="16"/>
    </row>
    <row r="66" ht="18.75" customHeight="1">
      <c r="A66" s="13"/>
      <c r="B66" s="15" t="s">
        <v>35</v>
      </c>
      <c r="U66" s="16"/>
    </row>
    <row r="67" ht="30.0" customHeight="1">
      <c r="A67" s="13"/>
      <c r="B67" s="17"/>
      <c r="C67" s="18" t="b">
        <v>1</v>
      </c>
      <c r="D67" s="18"/>
      <c r="E67" s="19" t="str">
        <f>IFS(C67=FALSE, "⬅️ Check when DONE", C67=TRUE, "☑️ Workout Completed", TRUE, "")</f>
        <v>☑️ Workout Completed</v>
      </c>
      <c r="H67" s="19"/>
      <c r="I67" s="20">
        <v>1.0</v>
      </c>
      <c r="J67" s="20">
        <v>2.0</v>
      </c>
      <c r="K67" s="20">
        <v>3.0</v>
      </c>
      <c r="L67" s="20">
        <v>4.0</v>
      </c>
      <c r="M67" s="20">
        <v>5.0</v>
      </c>
      <c r="N67" s="20">
        <v>6.0</v>
      </c>
      <c r="O67" s="20">
        <v>7.0</v>
      </c>
      <c r="P67" s="20">
        <v>8.0</v>
      </c>
      <c r="Q67" s="20">
        <v>9.0</v>
      </c>
      <c r="R67" s="20">
        <v>10.0</v>
      </c>
      <c r="S67" s="40"/>
      <c r="T67" s="22">
        <v>45683.0</v>
      </c>
      <c r="U67" s="23"/>
    </row>
    <row r="68" ht="26.25" customHeight="1">
      <c r="A68" s="13"/>
      <c r="B68" s="30" t="s">
        <v>17</v>
      </c>
      <c r="C68" s="32" t="s">
        <v>30</v>
      </c>
      <c r="D68" s="33" t="s">
        <v>36</v>
      </c>
      <c r="E68" s="30">
        <v>4.0</v>
      </c>
      <c r="F68" s="38">
        <v>10.0</v>
      </c>
      <c r="G68" s="38"/>
      <c r="H68" s="30"/>
      <c r="I68" s="41">
        <v>95.0</v>
      </c>
      <c r="J68" s="41">
        <v>95.0</v>
      </c>
      <c r="K68" s="41">
        <v>95.0</v>
      </c>
      <c r="L68" s="41">
        <v>95.0</v>
      </c>
      <c r="M68" s="41"/>
      <c r="N68" s="41"/>
      <c r="O68" s="41"/>
      <c r="P68" s="41"/>
      <c r="Q68" s="41"/>
      <c r="R68" s="41"/>
      <c r="S68" s="30"/>
      <c r="T68" s="30" t="s">
        <v>37</v>
      </c>
    </row>
    <row r="69" ht="26.25" customHeight="1">
      <c r="A69" s="13"/>
      <c r="B69" s="30" t="s">
        <v>21</v>
      </c>
      <c r="C69" s="32" t="s">
        <v>38</v>
      </c>
      <c r="D69" s="33"/>
      <c r="E69" s="30">
        <v>5.0</v>
      </c>
      <c r="F69" s="38">
        <v>10.0</v>
      </c>
      <c r="G69" s="38"/>
      <c r="H69" s="30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30"/>
      <c r="T69" s="30" t="s">
        <v>20</v>
      </c>
    </row>
    <row r="70" ht="26.25" customHeight="1">
      <c r="A70" s="13"/>
      <c r="B70" s="30"/>
      <c r="C70" s="32" t="str">
        <f>IF(D70&lt;&gt;"", HYPERLINK(VLOOKUP(D70, DATA!H:K, 4, FALSE), D70), "")</f>
        <v/>
      </c>
      <c r="D70" s="33"/>
      <c r="E70" s="30"/>
      <c r="F70" s="27"/>
      <c r="G70" s="38"/>
      <c r="H70" s="30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1"/>
    </row>
    <row r="71" ht="26.25" customHeight="1">
      <c r="A71" s="13"/>
      <c r="B71" s="30"/>
      <c r="C71" s="32" t="str">
        <f>IF(D71&lt;&gt;"", HYPERLINK(VLOOKUP(D71, DATA!H:K, 4, FALSE), D71), "")</f>
        <v/>
      </c>
      <c r="D71" s="33"/>
      <c r="E71" s="30"/>
      <c r="F71" s="27"/>
      <c r="G71" s="38"/>
      <c r="H71" s="30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1"/>
    </row>
    <row r="72" ht="26.25" customHeight="1">
      <c r="A72" s="13"/>
      <c r="B72" s="30"/>
      <c r="C72" s="32" t="str">
        <f>IF(D72&lt;&gt;"", HYPERLINK(VLOOKUP(D72, DATA!H:K, 4, FALSE), D72), "")</f>
        <v/>
      </c>
      <c r="D72" s="33"/>
      <c r="E72" s="30"/>
      <c r="F72" s="27"/>
      <c r="G72" s="38"/>
      <c r="H72" s="30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1"/>
    </row>
    <row r="73" ht="26.25" customHeight="1">
      <c r="A73" s="13"/>
      <c r="B73" s="35"/>
      <c r="C73" s="32" t="str">
        <f>IF(D73&lt;&gt;"", HYPERLINK(VLOOKUP(D73, DATA!H:K, 4, FALSE), D73), "")</f>
        <v/>
      </c>
      <c r="D73" s="33"/>
      <c r="E73" s="30"/>
      <c r="F73" s="27"/>
      <c r="G73" s="38"/>
      <c r="H73" s="30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1"/>
    </row>
    <row r="74" ht="26.25" customHeight="1">
      <c r="A74" s="13"/>
      <c r="B74" s="36"/>
      <c r="C74" s="32" t="str">
        <f>IF(D74&lt;&gt;"", HYPERLINK(VLOOKUP(D74, DATA!H:K, 4, FALSE), D74), "")</f>
        <v/>
      </c>
      <c r="D74" s="33"/>
      <c r="E74" s="30"/>
      <c r="F74" s="27"/>
      <c r="G74" s="38"/>
      <c r="H74" s="30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1"/>
    </row>
    <row r="75" ht="26.25" customHeight="1">
      <c r="A75" s="13"/>
      <c r="B75" s="31"/>
      <c r="C75" s="32" t="str">
        <f>IF(D75&lt;&gt;"", HYPERLINK(VLOOKUP(D75, DATA!H:K, 4, FALSE), D75), "")</f>
        <v/>
      </c>
      <c r="D75" s="33"/>
      <c r="E75" s="30"/>
      <c r="F75" s="27"/>
      <c r="G75" s="38"/>
      <c r="H75" s="30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28"/>
      <c r="T75" s="31"/>
    </row>
    <row r="76" ht="11.25" customHeight="1">
      <c r="A76" s="13"/>
      <c r="B76" s="37"/>
    </row>
    <row r="77" ht="45.0" customHeight="1">
      <c r="A77" s="13"/>
      <c r="B77" s="14" t="s">
        <v>4</v>
      </c>
      <c r="U77" s="13"/>
    </row>
    <row r="78" ht="18.75" customHeight="1">
      <c r="A78" s="13"/>
      <c r="B78" s="15" t="s">
        <v>16</v>
      </c>
      <c r="U78" s="16"/>
    </row>
    <row r="79" ht="30.0" customHeight="1">
      <c r="A79" s="13"/>
      <c r="B79" s="17"/>
      <c r="C79" s="18" t="b">
        <v>1</v>
      </c>
      <c r="D79" s="18"/>
      <c r="E79" s="19" t="str">
        <f>IFS(C79=FALSE, "⬅️ Check when DONE", C79=TRUE, "☑️ Workout Completed", TRUE, "")</f>
        <v>☑️ Workout Completed</v>
      </c>
      <c r="H79" s="19"/>
      <c r="I79" s="20">
        <v>1.0</v>
      </c>
      <c r="J79" s="20">
        <v>2.0</v>
      </c>
      <c r="K79" s="20">
        <v>3.0</v>
      </c>
      <c r="L79" s="20">
        <v>4.0</v>
      </c>
      <c r="M79" s="20">
        <v>5.0</v>
      </c>
      <c r="N79" s="20">
        <v>6.0</v>
      </c>
      <c r="O79" s="20">
        <v>7.0</v>
      </c>
      <c r="P79" s="20">
        <v>8.0</v>
      </c>
      <c r="Q79" s="20">
        <v>9.0</v>
      </c>
      <c r="R79" s="20">
        <v>10.0</v>
      </c>
      <c r="S79" s="40"/>
      <c r="T79" s="22">
        <v>45684.0</v>
      </c>
      <c r="U79" s="23"/>
    </row>
    <row r="80" ht="26.25" customHeight="1">
      <c r="A80" s="13"/>
      <c r="B80" s="30" t="s">
        <v>17</v>
      </c>
      <c r="C80" s="32" t="s">
        <v>39</v>
      </c>
      <c r="D80" s="33" t="s">
        <v>36</v>
      </c>
      <c r="E80" s="30">
        <v>4.0</v>
      </c>
      <c r="F80" s="38">
        <v>10.0</v>
      </c>
      <c r="G80" s="38"/>
      <c r="H80" s="30"/>
      <c r="I80" s="41">
        <v>15.0</v>
      </c>
      <c r="J80" s="41">
        <v>15.0</v>
      </c>
      <c r="K80" s="41">
        <v>17.5</v>
      </c>
      <c r="L80" s="41">
        <v>20.0</v>
      </c>
      <c r="M80" s="41"/>
      <c r="N80" s="41"/>
      <c r="O80" s="41"/>
      <c r="P80" s="41"/>
      <c r="Q80" s="41"/>
      <c r="R80" s="41"/>
      <c r="S80" s="30"/>
      <c r="T80" s="30" t="s">
        <v>40</v>
      </c>
    </row>
    <row r="81" ht="26.25" customHeight="1">
      <c r="A81" s="13"/>
      <c r="B81" s="30" t="s">
        <v>21</v>
      </c>
      <c r="C81" s="32" t="s">
        <v>41</v>
      </c>
      <c r="D81" s="33"/>
      <c r="E81" s="30">
        <v>4.0</v>
      </c>
      <c r="F81" s="38">
        <v>10.0</v>
      </c>
      <c r="G81" s="38"/>
      <c r="H81" s="30"/>
      <c r="I81" s="42">
        <v>40.0</v>
      </c>
      <c r="J81" s="42">
        <v>40.0</v>
      </c>
      <c r="K81" s="42">
        <v>40.0</v>
      </c>
      <c r="L81" s="42">
        <v>40.0</v>
      </c>
      <c r="M81" s="42"/>
      <c r="N81" s="42"/>
      <c r="O81" s="42"/>
      <c r="P81" s="42"/>
      <c r="Q81" s="42"/>
      <c r="R81" s="42"/>
      <c r="S81" s="30"/>
      <c r="T81" s="30" t="s">
        <v>42</v>
      </c>
    </row>
    <row r="82" ht="26.25" customHeight="1">
      <c r="A82" s="13"/>
      <c r="B82" s="30"/>
      <c r="C82" s="32" t="str">
        <f>IF(D82&lt;&gt;"", HYPERLINK(VLOOKUP(D82, DATA!H:K, 4, FALSE), D82), "")</f>
        <v/>
      </c>
      <c r="D82" s="33"/>
      <c r="E82" s="30"/>
      <c r="F82" s="27"/>
      <c r="G82" s="38"/>
      <c r="H82" s="30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1"/>
    </row>
    <row r="83" ht="26.25" customHeight="1">
      <c r="A83" s="13"/>
      <c r="B83" s="30"/>
      <c r="C83" s="32" t="str">
        <f>IF(D83&lt;&gt;"", HYPERLINK(VLOOKUP(D83, DATA!H:K, 4, FALSE), D83), "")</f>
        <v/>
      </c>
      <c r="D83" s="33"/>
      <c r="E83" s="30"/>
      <c r="F83" s="27"/>
      <c r="G83" s="38"/>
      <c r="H83" s="30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1"/>
    </row>
    <row r="84" ht="26.25" customHeight="1">
      <c r="A84" s="13"/>
      <c r="B84" s="30"/>
      <c r="C84" s="32" t="str">
        <f>IF(D84&lt;&gt;"", HYPERLINK(VLOOKUP(D84, DATA!H:K, 4, FALSE), D84), "")</f>
        <v/>
      </c>
      <c r="D84" s="33"/>
      <c r="E84" s="30"/>
      <c r="F84" s="27"/>
      <c r="G84" s="38"/>
      <c r="H84" s="30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1"/>
    </row>
    <row r="85" ht="26.25" customHeight="1">
      <c r="A85" s="13"/>
      <c r="B85" s="35"/>
      <c r="C85" s="32" t="str">
        <f>IF(D85&lt;&gt;"", HYPERLINK(VLOOKUP(D85, DATA!H:K, 4, FALSE), D85), "")</f>
        <v/>
      </c>
      <c r="D85" s="33"/>
      <c r="E85" s="30"/>
      <c r="F85" s="27"/>
      <c r="G85" s="38"/>
      <c r="H85" s="30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1"/>
    </row>
    <row r="86" ht="26.25" customHeight="1">
      <c r="A86" s="13"/>
      <c r="B86" s="36"/>
      <c r="C86" s="32" t="str">
        <f>IF(D86&lt;&gt;"", HYPERLINK(VLOOKUP(D86, DATA!H:K, 4, FALSE), D86), "")</f>
        <v/>
      </c>
      <c r="D86" s="33"/>
      <c r="E86" s="30"/>
      <c r="F86" s="27"/>
      <c r="G86" s="38"/>
      <c r="H86" s="30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1"/>
    </row>
    <row r="87" ht="26.25" customHeight="1">
      <c r="A87" s="13"/>
      <c r="B87" s="31"/>
      <c r="C87" s="32" t="str">
        <f>IF(D87&lt;&gt;"", HYPERLINK(VLOOKUP(D87, DATA!H:K, 4, FALSE), D87), "")</f>
        <v/>
      </c>
      <c r="D87" s="33"/>
      <c r="E87" s="30"/>
      <c r="F87" s="27"/>
      <c r="G87" s="38"/>
      <c r="H87" s="30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28"/>
      <c r="T87" s="31"/>
    </row>
    <row r="88" ht="11.25" customHeight="1">
      <c r="A88" s="13"/>
      <c r="B88" s="37"/>
    </row>
    <row r="89" ht="11.25" customHeight="1">
      <c r="A89" s="13"/>
      <c r="B89" s="39"/>
      <c r="U89" s="16"/>
    </row>
    <row r="90" ht="18.75" customHeight="1">
      <c r="A90" s="13"/>
      <c r="B90" s="15" t="s">
        <v>24</v>
      </c>
      <c r="U90" s="16"/>
    </row>
    <row r="91" ht="30.0" customHeight="1">
      <c r="A91" s="13"/>
      <c r="B91" s="17"/>
      <c r="C91" s="18" t="b">
        <v>1</v>
      </c>
      <c r="D91" s="18"/>
      <c r="E91" s="19" t="str">
        <f>IFS(C91=FALSE, "⬅️ Check when DONE", C91=TRUE, "☑️ Workout Completed", TRUE, "")</f>
        <v>☑️ Workout Completed</v>
      </c>
      <c r="H91" s="19"/>
      <c r="I91" s="20">
        <v>1.0</v>
      </c>
      <c r="J91" s="20">
        <v>2.0</v>
      </c>
      <c r="K91" s="20">
        <v>3.0</v>
      </c>
      <c r="L91" s="20">
        <v>4.0</v>
      </c>
      <c r="M91" s="20">
        <v>5.0</v>
      </c>
      <c r="N91" s="20">
        <v>6.0</v>
      </c>
      <c r="O91" s="20">
        <v>7.0</v>
      </c>
      <c r="P91" s="20">
        <v>8.0</v>
      </c>
      <c r="Q91" s="20">
        <v>9.0</v>
      </c>
      <c r="R91" s="20">
        <v>10.0</v>
      </c>
      <c r="S91" s="20"/>
      <c r="T91" s="22">
        <v>45685.0</v>
      </c>
      <c r="U91" s="23"/>
    </row>
    <row r="92" ht="26.25" customHeight="1">
      <c r="A92" s="13"/>
      <c r="B92" s="24" t="s">
        <v>17</v>
      </c>
      <c r="C92" s="25" t="s">
        <v>18</v>
      </c>
      <c r="D92" s="26"/>
      <c r="E92" s="24">
        <v>4.0</v>
      </c>
      <c r="F92" s="27">
        <v>10.0</v>
      </c>
      <c r="G92" s="27"/>
      <c r="H92" s="24"/>
      <c r="I92" s="28">
        <v>55.0</v>
      </c>
      <c r="J92" s="28">
        <v>60.0</v>
      </c>
      <c r="K92" s="28">
        <v>60.0</v>
      </c>
      <c r="L92" s="28">
        <v>60.0</v>
      </c>
      <c r="M92" s="28"/>
      <c r="N92" s="28"/>
      <c r="O92" s="28"/>
      <c r="P92" s="28"/>
      <c r="Q92" s="28"/>
      <c r="R92" s="28"/>
      <c r="S92" s="31"/>
      <c r="T92" s="30"/>
    </row>
    <row r="93" ht="26.25" customHeight="1">
      <c r="A93" s="13"/>
      <c r="B93" s="24" t="s">
        <v>17</v>
      </c>
      <c r="C93" s="25" t="s">
        <v>19</v>
      </c>
      <c r="D93" s="26"/>
      <c r="E93" s="24">
        <v>4.0</v>
      </c>
      <c r="F93" s="27">
        <v>10.0</v>
      </c>
      <c r="G93" s="27"/>
      <c r="H93" s="24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31"/>
      <c r="T93" s="31" t="s">
        <v>20</v>
      </c>
    </row>
    <row r="94" ht="26.25" customHeight="1">
      <c r="A94" s="13"/>
      <c r="B94" s="24" t="s">
        <v>21</v>
      </c>
      <c r="C94" s="25" t="s">
        <v>22</v>
      </c>
      <c r="D94" s="26"/>
      <c r="E94" s="24">
        <v>4.0</v>
      </c>
      <c r="F94" s="27">
        <v>10.0</v>
      </c>
      <c r="G94" s="27"/>
      <c r="H94" s="24"/>
      <c r="I94" s="28">
        <v>35.0</v>
      </c>
      <c r="J94" s="28">
        <v>35.0</v>
      </c>
      <c r="K94" s="34">
        <v>40.0</v>
      </c>
      <c r="L94" s="34">
        <v>40.0</v>
      </c>
      <c r="M94" s="28"/>
      <c r="N94" s="28"/>
      <c r="O94" s="28"/>
      <c r="P94" s="28"/>
      <c r="Q94" s="28"/>
      <c r="R94" s="28"/>
      <c r="S94" s="31"/>
      <c r="T94" s="30" t="s">
        <v>43</v>
      </c>
    </row>
    <row r="95" ht="26.25" customHeight="1">
      <c r="A95" s="13"/>
      <c r="B95" s="24" t="s">
        <v>21</v>
      </c>
      <c r="C95" s="25" t="s">
        <v>23</v>
      </c>
      <c r="D95" s="26"/>
      <c r="E95" s="24">
        <v>4.0</v>
      </c>
      <c r="F95" s="27">
        <v>10.0</v>
      </c>
      <c r="G95" s="27"/>
      <c r="H95" s="24"/>
      <c r="I95" s="28">
        <v>35.0</v>
      </c>
      <c r="J95" s="28">
        <v>35.0</v>
      </c>
      <c r="K95" s="34">
        <v>40.0</v>
      </c>
      <c r="L95" s="34">
        <v>40.0</v>
      </c>
      <c r="M95" s="28"/>
      <c r="N95" s="28"/>
      <c r="O95" s="28"/>
      <c r="P95" s="28"/>
      <c r="Q95" s="28"/>
      <c r="R95" s="28"/>
      <c r="S95" s="31"/>
      <c r="T95" s="30" t="s">
        <v>44</v>
      </c>
    </row>
    <row r="96" ht="26.25" customHeight="1">
      <c r="A96" s="13"/>
      <c r="B96" s="30"/>
      <c r="C96" s="32" t="str">
        <f>IF(D96&lt;&gt;"", HYPERLINK(VLOOKUP(D96, DATA!H:K, 4, FALSE), D96), "")</f>
        <v/>
      </c>
      <c r="D96" s="33"/>
      <c r="E96" s="30"/>
      <c r="F96" s="27"/>
      <c r="G96" s="38"/>
      <c r="H96" s="30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1"/>
    </row>
    <row r="97" ht="26.25" customHeight="1">
      <c r="A97" s="13"/>
      <c r="B97" s="35"/>
      <c r="C97" s="32" t="str">
        <f>IF(D97&lt;&gt;"", HYPERLINK(VLOOKUP(D97, DATA!H:K, 4, FALSE), D97), "")</f>
        <v/>
      </c>
      <c r="D97" s="33"/>
      <c r="E97" s="30"/>
      <c r="F97" s="27"/>
      <c r="G97" s="38"/>
      <c r="H97" s="30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1"/>
    </row>
    <row r="98" ht="26.25" customHeight="1">
      <c r="A98" s="13"/>
      <c r="B98" s="36"/>
      <c r="C98" s="32" t="str">
        <f>IF(D98&lt;&gt;"", HYPERLINK(VLOOKUP(D98, DATA!H:K, 4, FALSE), D98), "")</f>
        <v/>
      </c>
      <c r="D98" s="33"/>
      <c r="E98" s="30"/>
      <c r="F98" s="27"/>
      <c r="G98" s="38"/>
      <c r="H98" s="30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1"/>
    </row>
    <row r="99" ht="26.25" customHeight="1">
      <c r="A99" s="13"/>
      <c r="B99" s="31"/>
      <c r="C99" s="32" t="str">
        <f>IF(D99&lt;&gt;"", HYPERLINK(VLOOKUP(D99, DATA!H:K, 4, FALSE), D99), "")</f>
        <v/>
      </c>
      <c r="D99" s="33"/>
      <c r="E99" s="30"/>
      <c r="F99" s="27"/>
      <c r="G99" s="38"/>
      <c r="H99" s="30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28"/>
      <c r="T99" s="31"/>
    </row>
    <row r="100" ht="11.25" customHeight="1">
      <c r="A100" s="13"/>
      <c r="B100" s="37"/>
    </row>
    <row r="101" ht="11.25" customHeight="1">
      <c r="A101" s="13"/>
      <c r="B101" s="39"/>
      <c r="U101" s="16"/>
    </row>
    <row r="102" ht="18.75" customHeight="1">
      <c r="A102" s="13"/>
      <c r="B102" s="15" t="s">
        <v>29</v>
      </c>
      <c r="U102" s="16"/>
    </row>
    <row r="103" ht="30.0" customHeight="1">
      <c r="A103" s="13"/>
      <c r="B103" s="17"/>
      <c r="C103" s="18" t="b">
        <v>1</v>
      </c>
      <c r="D103" s="18"/>
      <c r="E103" s="19" t="str">
        <f>IFS(C103=FALSE, "⬅️ Check when DONE", C103=TRUE, "☑️ Workout Completed", TRUE, "")</f>
        <v>☑️ Workout Completed</v>
      </c>
      <c r="H103" s="19"/>
      <c r="I103" s="20">
        <v>1.0</v>
      </c>
      <c r="J103" s="20">
        <v>2.0</v>
      </c>
      <c r="K103" s="20">
        <v>3.0</v>
      </c>
      <c r="L103" s="20">
        <v>4.0</v>
      </c>
      <c r="M103" s="20">
        <v>5.0</v>
      </c>
      <c r="N103" s="20">
        <v>6.0</v>
      </c>
      <c r="O103" s="20">
        <v>7.0</v>
      </c>
      <c r="P103" s="20">
        <v>8.0</v>
      </c>
      <c r="Q103" s="20">
        <v>9.0</v>
      </c>
      <c r="R103" s="20">
        <v>10.0</v>
      </c>
      <c r="S103" s="20"/>
      <c r="T103" s="22">
        <v>45686.0</v>
      </c>
      <c r="U103" s="23"/>
    </row>
    <row r="104" ht="26.25" customHeight="1">
      <c r="A104" s="13"/>
      <c r="B104" s="30" t="s">
        <v>17</v>
      </c>
      <c r="C104" s="25" t="s">
        <v>28</v>
      </c>
      <c r="D104" s="26"/>
      <c r="E104" s="24">
        <v>4.0</v>
      </c>
      <c r="F104" s="27">
        <v>10.0</v>
      </c>
      <c r="G104" s="27"/>
      <c r="H104" s="24"/>
      <c r="I104" s="28">
        <v>50.0</v>
      </c>
      <c r="J104" s="28">
        <v>50.0</v>
      </c>
      <c r="K104" s="28">
        <v>50.0</v>
      </c>
      <c r="L104" s="28">
        <v>50.0</v>
      </c>
      <c r="M104" s="34"/>
      <c r="N104" s="34"/>
      <c r="O104" s="34"/>
      <c r="P104" s="34"/>
      <c r="Q104" s="34"/>
      <c r="R104" s="34"/>
      <c r="S104" s="34"/>
      <c r="T104" s="30"/>
    </row>
    <row r="105" ht="26.25" customHeight="1">
      <c r="A105" s="13"/>
      <c r="B105" s="24" t="s">
        <v>17</v>
      </c>
      <c r="C105" s="25" t="s">
        <v>25</v>
      </c>
      <c r="D105" s="26"/>
      <c r="E105" s="24">
        <v>4.0</v>
      </c>
      <c r="F105" s="27">
        <v>10.0</v>
      </c>
      <c r="G105" s="27"/>
      <c r="H105" s="24"/>
      <c r="I105" s="34">
        <v>35.0</v>
      </c>
      <c r="J105" s="34">
        <v>35.0</v>
      </c>
      <c r="K105" s="34">
        <v>35.0</v>
      </c>
      <c r="L105" s="34">
        <v>35.0</v>
      </c>
      <c r="M105" s="34"/>
      <c r="N105" s="34"/>
      <c r="O105" s="34"/>
      <c r="P105" s="34"/>
      <c r="Q105" s="34"/>
      <c r="R105" s="34"/>
      <c r="S105" s="34"/>
      <c r="T105" s="30" t="s">
        <v>34</v>
      </c>
    </row>
    <row r="106" ht="26.25" customHeight="1">
      <c r="A106" s="13"/>
      <c r="B106" s="30" t="s">
        <v>21</v>
      </c>
      <c r="C106" s="32" t="s">
        <v>45</v>
      </c>
      <c r="D106" s="33"/>
      <c r="E106" s="24">
        <v>4.0</v>
      </c>
      <c r="F106" s="27">
        <v>10.0</v>
      </c>
      <c r="G106" s="38"/>
      <c r="H106" s="30"/>
      <c r="I106" s="34">
        <v>85.0</v>
      </c>
      <c r="J106" s="34">
        <v>85.0</v>
      </c>
      <c r="K106" s="34">
        <v>100.0</v>
      </c>
      <c r="L106" s="34">
        <v>115.0</v>
      </c>
      <c r="M106" s="34"/>
      <c r="N106" s="34"/>
      <c r="O106" s="34"/>
      <c r="P106" s="34"/>
      <c r="Q106" s="34"/>
      <c r="R106" s="34"/>
      <c r="S106" s="34"/>
      <c r="T106" s="30" t="s">
        <v>46</v>
      </c>
    </row>
    <row r="107" ht="26.25" customHeight="1">
      <c r="A107" s="13"/>
      <c r="B107" s="30" t="s">
        <v>21</v>
      </c>
      <c r="C107" s="32" t="s">
        <v>27</v>
      </c>
      <c r="D107" s="26"/>
      <c r="E107" s="24">
        <v>4.0</v>
      </c>
      <c r="F107" s="27">
        <v>10.0</v>
      </c>
      <c r="G107" s="27"/>
      <c r="H107" s="24"/>
      <c r="I107" s="34">
        <v>30.0</v>
      </c>
      <c r="J107" s="34">
        <v>30.0</v>
      </c>
      <c r="K107" s="34">
        <v>30.0</v>
      </c>
      <c r="L107" s="34">
        <v>30.0</v>
      </c>
      <c r="M107" s="34"/>
      <c r="N107" s="34"/>
      <c r="O107" s="34"/>
      <c r="P107" s="34"/>
      <c r="Q107" s="34"/>
      <c r="R107" s="34"/>
      <c r="S107" s="34"/>
      <c r="T107" s="30"/>
    </row>
    <row r="108" ht="26.25" customHeight="1">
      <c r="A108" s="13"/>
      <c r="B108" s="30"/>
      <c r="C108" s="32"/>
      <c r="D108" s="26"/>
      <c r="E108" s="24"/>
      <c r="F108" s="27"/>
      <c r="G108" s="27"/>
      <c r="H108" s="2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1"/>
    </row>
    <row r="109" ht="26.25" customHeight="1">
      <c r="A109" s="13"/>
      <c r="B109" s="35"/>
      <c r="C109" s="32" t="str">
        <f>IF(D109&lt;&gt;"", HYPERLINK(VLOOKUP(D109, DATA!H:K, 4, FALSE), D109), "")</f>
        <v/>
      </c>
      <c r="D109" s="33"/>
      <c r="E109" s="30"/>
      <c r="F109" s="27"/>
      <c r="G109" s="38"/>
      <c r="H109" s="30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1"/>
    </row>
    <row r="110" ht="26.25" customHeight="1">
      <c r="A110" s="13"/>
      <c r="B110" s="36"/>
      <c r="C110" s="32" t="str">
        <f>IF(D110&lt;&gt;"", HYPERLINK(VLOOKUP(D110, DATA!H:K, 4, FALSE), D110), "")</f>
        <v/>
      </c>
      <c r="D110" s="33"/>
      <c r="E110" s="30"/>
      <c r="F110" s="27"/>
      <c r="G110" s="38"/>
      <c r="H110" s="30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1"/>
    </row>
    <row r="111" ht="26.25" customHeight="1">
      <c r="A111" s="13"/>
      <c r="B111" s="31"/>
      <c r="C111" s="32" t="str">
        <f>IF(D111&lt;&gt;"", HYPERLINK(VLOOKUP(D111, DATA!H:K, 4, FALSE), D111), "")</f>
        <v/>
      </c>
      <c r="D111" s="33"/>
      <c r="E111" s="30"/>
      <c r="F111" s="27"/>
      <c r="G111" s="38"/>
      <c r="H111" s="30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28"/>
      <c r="T111" s="31"/>
    </row>
    <row r="112" ht="11.25" customHeight="1">
      <c r="A112" s="13"/>
      <c r="B112" s="37"/>
    </row>
    <row r="113" ht="11.25" customHeight="1">
      <c r="A113" s="13"/>
      <c r="B113" s="39"/>
      <c r="U113" s="16"/>
    </row>
    <row r="114" ht="18.75" customHeight="1">
      <c r="A114" s="13"/>
      <c r="B114" s="15" t="s">
        <v>32</v>
      </c>
      <c r="U114" s="16"/>
    </row>
    <row r="115" ht="30.0" customHeight="1">
      <c r="A115" s="13"/>
      <c r="B115" s="17"/>
      <c r="C115" s="18" t="b">
        <v>1</v>
      </c>
      <c r="D115" s="18"/>
      <c r="E115" s="19" t="str">
        <f>IFS(C115=FALSE, "⬅️ Check when DONE", C115=TRUE, "☑️ Workout Completed", TRUE, "")</f>
        <v>☑️ Workout Completed</v>
      </c>
      <c r="H115" s="19"/>
      <c r="I115" s="20">
        <v>1.0</v>
      </c>
      <c r="J115" s="20">
        <v>2.0</v>
      </c>
      <c r="K115" s="20">
        <v>3.0</v>
      </c>
      <c r="L115" s="20">
        <v>4.0</v>
      </c>
      <c r="M115" s="20">
        <v>5.0</v>
      </c>
      <c r="N115" s="20">
        <v>6.0</v>
      </c>
      <c r="O115" s="20">
        <v>7.0</v>
      </c>
      <c r="P115" s="20">
        <v>8.0</v>
      </c>
      <c r="Q115" s="20">
        <v>9.0</v>
      </c>
      <c r="R115" s="20">
        <v>10.0</v>
      </c>
      <c r="S115" s="20"/>
      <c r="T115" s="22">
        <v>45687.0</v>
      </c>
      <c r="U115" s="23"/>
    </row>
    <row r="116" ht="26.25" customHeight="1">
      <c r="A116" s="13"/>
      <c r="B116" s="30" t="s">
        <v>17</v>
      </c>
      <c r="C116" s="32" t="s">
        <v>30</v>
      </c>
      <c r="D116" s="33" t="s">
        <v>36</v>
      </c>
      <c r="E116" s="30">
        <v>4.0</v>
      </c>
      <c r="F116" s="38">
        <v>10.0</v>
      </c>
      <c r="G116" s="38"/>
      <c r="H116" s="30"/>
      <c r="I116" s="34">
        <v>95.0</v>
      </c>
      <c r="J116" s="34">
        <v>95.0</v>
      </c>
      <c r="K116" s="34">
        <v>95.0</v>
      </c>
      <c r="L116" s="34">
        <v>95.0</v>
      </c>
      <c r="M116" s="34"/>
      <c r="N116" s="34"/>
      <c r="O116" s="34"/>
      <c r="P116" s="34"/>
      <c r="Q116" s="34"/>
      <c r="R116" s="34"/>
      <c r="S116" s="30"/>
      <c r="T116" s="30" t="s">
        <v>37</v>
      </c>
    </row>
    <row r="117" ht="26.25" customHeight="1">
      <c r="A117" s="13"/>
      <c r="B117" s="30" t="s">
        <v>21</v>
      </c>
      <c r="C117" s="32" t="s">
        <v>38</v>
      </c>
      <c r="D117" s="33"/>
      <c r="E117" s="30">
        <v>5.0</v>
      </c>
      <c r="F117" s="38">
        <v>10.0</v>
      </c>
      <c r="G117" s="38"/>
      <c r="H117" s="30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0"/>
      <c r="T117" s="30" t="s">
        <v>20</v>
      </c>
    </row>
    <row r="118" ht="26.25" customHeight="1">
      <c r="A118" s="13"/>
      <c r="B118" s="30"/>
      <c r="C118" s="32" t="str">
        <f>IF(D118&lt;&gt;"", HYPERLINK(VLOOKUP(D118, DATA!H:K, 4, FALSE), D118), "")</f>
        <v/>
      </c>
      <c r="D118" s="33"/>
      <c r="E118" s="30"/>
      <c r="F118" s="27"/>
      <c r="G118" s="38"/>
      <c r="H118" s="30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1"/>
    </row>
    <row r="119" ht="26.25" customHeight="1">
      <c r="A119" s="13"/>
      <c r="B119" s="30"/>
      <c r="C119" s="32" t="str">
        <f>IF(D119&lt;&gt;"", HYPERLINK(VLOOKUP(D119, DATA!H:K, 4, FALSE), D119), "")</f>
        <v/>
      </c>
      <c r="D119" s="33"/>
      <c r="E119" s="30"/>
      <c r="F119" s="27"/>
      <c r="G119" s="38"/>
      <c r="H119" s="30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1"/>
    </row>
    <row r="120" ht="26.25" customHeight="1">
      <c r="A120" s="13"/>
      <c r="B120" s="30"/>
      <c r="C120" s="32" t="str">
        <f>IF(D120&lt;&gt;"", HYPERLINK(VLOOKUP(D120, DATA!H:K, 4, FALSE), D120), "")</f>
        <v/>
      </c>
      <c r="D120" s="33"/>
      <c r="E120" s="30"/>
      <c r="F120" s="27"/>
      <c r="G120" s="38"/>
      <c r="H120" s="30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1"/>
    </row>
    <row r="121" ht="26.25" customHeight="1">
      <c r="A121" s="13"/>
      <c r="B121" s="35"/>
      <c r="C121" s="32" t="str">
        <f>IF(D121&lt;&gt;"", HYPERLINK(VLOOKUP(D121, DATA!H:K, 4, FALSE), D121), "")</f>
        <v/>
      </c>
      <c r="D121" s="33"/>
      <c r="E121" s="30"/>
      <c r="F121" s="27"/>
      <c r="G121" s="38"/>
      <c r="H121" s="30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1"/>
    </row>
    <row r="122" ht="26.25" customHeight="1">
      <c r="A122" s="13"/>
      <c r="B122" s="36"/>
      <c r="C122" s="32" t="str">
        <f>IF(D122&lt;&gt;"", HYPERLINK(VLOOKUP(D122, DATA!H:K, 4, FALSE), D122), "")</f>
        <v/>
      </c>
      <c r="D122" s="33"/>
      <c r="E122" s="30"/>
      <c r="F122" s="27"/>
      <c r="G122" s="38"/>
      <c r="H122" s="30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1"/>
    </row>
    <row r="123" ht="26.25" customHeight="1">
      <c r="A123" s="13"/>
      <c r="B123" s="31"/>
      <c r="C123" s="32" t="str">
        <f>IF(D123&lt;&gt;"", HYPERLINK(VLOOKUP(D123, DATA!H:K, 4, FALSE), D123), "")</f>
        <v/>
      </c>
      <c r="D123" s="33"/>
      <c r="E123" s="30"/>
      <c r="F123" s="27"/>
      <c r="G123" s="38"/>
      <c r="H123" s="30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28"/>
      <c r="T123" s="31"/>
    </row>
    <row r="124" ht="11.25" customHeight="1">
      <c r="A124" s="13"/>
      <c r="B124" s="37"/>
    </row>
    <row r="125" ht="11.25" customHeight="1">
      <c r="A125" s="13"/>
      <c r="B125" s="39"/>
      <c r="U125" s="16"/>
    </row>
    <row r="126" ht="18.75" customHeight="1">
      <c r="A126" s="13"/>
      <c r="B126" s="15" t="s">
        <v>33</v>
      </c>
      <c r="U126" s="16"/>
    </row>
    <row r="127" ht="30.0" customHeight="1">
      <c r="A127" s="13"/>
      <c r="B127" s="17"/>
      <c r="C127" s="18" t="b">
        <v>1</v>
      </c>
      <c r="D127" s="18"/>
      <c r="E127" s="19" t="str">
        <f>IFS(C127=FALSE, "⬅️ Check when DONE", C127=TRUE, "☑️ Workout Completed", TRUE, "")</f>
        <v>☑️ Workout Completed</v>
      </c>
      <c r="H127" s="19"/>
      <c r="I127" s="20">
        <v>1.0</v>
      </c>
      <c r="J127" s="20">
        <v>2.0</v>
      </c>
      <c r="K127" s="20">
        <v>3.0</v>
      </c>
      <c r="L127" s="20">
        <v>4.0</v>
      </c>
      <c r="M127" s="20">
        <v>5.0</v>
      </c>
      <c r="N127" s="20">
        <v>6.0</v>
      </c>
      <c r="O127" s="20">
        <v>7.0</v>
      </c>
      <c r="P127" s="20">
        <v>8.0</v>
      </c>
      <c r="Q127" s="20">
        <v>9.0</v>
      </c>
      <c r="R127" s="20">
        <v>10.0</v>
      </c>
      <c r="S127" s="20"/>
      <c r="T127" s="22">
        <v>45688.0</v>
      </c>
      <c r="U127" s="23"/>
    </row>
    <row r="128" ht="26.25" customHeight="1">
      <c r="A128" s="13"/>
      <c r="B128" s="30" t="s">
        <v>17</v>
      </c>
      <c r="C128" s="32" t="s">
        <v>39</v>
      </c>
      <c r="D128" s="33"/>
      <c r="E128" s="30"/>
      <c r="F128" s="27"/>
      <c r="G128" s="38"/>
      <c r="H128" s="30"/>
      <c r="I128" s="34">
        <v>17.5</v>
      </c>
      <c r="J128" s="34">
        <v>17.5</v>
      </c>
      <c r="K128" s="34">
        <v>17.5</v>
      </c>
      <c r="L128" s="34">
        <v>17.5</v>
      </c>
      <c r="M128" s="34"/>
      <c r="N128" s="34"/>
      <c r="O128" s="34"/>
      <c r="P128" s="34"/>
      <c r="Q128" s="34"/>
      <c r="R128" s="34"/>
      <c r="S128" s="34"/>
      <c r="T128" s="31"/>
    </row>
    <row r="129" ht="26.25" customHeight="1">
      <c r="A129" s="13"/>
      <c r="B129" s="30" t="s">
        <v>21</v>
      </c>
      <c r="C129" s="32" t="s">
        <v>41</v>
      </c>
      <c r="D129" s="33"/>
      <c r="E129" s="30"/>
      <c r="F129" s="27"/>
      <c r="G129" s="38"/>
      <c r="H129" s="30"/>
      <c r="I129" s="34">
        <v>40.0</v>
      </c>
      <c r="J129" s="34">
        <v>40.0</v>
      </c>
      <c r="K129" s="34">
        <v>40.0</v>
      </c>
      <c r="L129" s="34">
        <v>40.0</v>
      </c>
      <c r="M129" s="34"/>
      <c r="N129" s="34"/>
      <c r="O129" s="34"/>
      <c r="P129" s="34"/>
      <c r="Q129" s="34"/>
      <c r="R129" s="34"/>
      <c r="S129" s="34"/>
      <c r="T129" s="31"/>
    </row>
    <row r="130" ht="26.25" customHeight="1">
      <c r="A130" s="13"/>
      <c r="B130" s="30"/>
      <c r="C130" s="32" t="s">
        <v>47</v>
      </c>
      <c r="D130" s="33"/>
      <c r="E130" s="30"/>
      <c r="F130" s="27"/>
      <c r="G130" s="38"/>
      <c r="H130" s="30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1"/>
    </row>
    <row r="131" ht="26.25" customHeight="1">
      <c r="A131" s="13"/>
      <c r="B131" s="24" t="s">
        <v>17</v>
      </c>
      <c r="C131" s="25" t="s">
        <v>18</v>
      </c>
      <c r="D131" s="26"/>
      <c r="E131" s="24">
        <v>4.0</v>
      </c>
      <c r="F131" s="27">
        <v>10.0</v>
      </c>
      <c r="G131" s="27"/>
      <c r="H131" s="24"/>
      <c r="I131" s="28">
        <v>55.0</v>
      </c>
      <c r="J131" s="34">
        <v>55.0</v>
      </c>
      <c r="K131" s="28">
        <v>60.0</v>
      </c>
      <c r="L131" s="28">
        <v>60.0</v>
      </c>
      <c r="M131" s="34"/>
      <c r="N131" s="34"/>
      <c r="O131" s="34"/>
      <c r="P131" s="34"/>
      <c r="Q131" s="34"/>
      <c r="R131" s="34"/>
      <c r="S131" s="34"/>
      <c r="T131" s="31"/>
    </row>
    <row r="132" ht="26.25" customHeight="1">
      <c r="A132" s="13"/>
      <c r="B132" s="24" t="s">
        <v>17</v>
      </c>
      <c r="C132" s="25" t="s">
        <v>19</v>
      </c>
      <c r="D132" s="26"/>
      <c r="E132" s="24">
        <v>4.0</v>
      </c>
      <c r="F132" s="27">
        <v>10.0</v>
      </c>
      <c r="G132" s="27"/>
      <c r="H132" s="24"/>
      <c r="I132" s="28"/>
      <c r="J132" s="28"/>
      <c r="K132" s="28"/>
      <c r="L132" s="28"/>
      <c r="M132" s="34"/>
      <c r="N132" s="34"/>
      <c r="O132" s="34"/>
      <c r="P132" s="34"/>
      <c r="Q132" s="34"/>
      <c r="R132" s="34"/>
      <c r="S132" s="34"/>
      <c r="T132" s="31"/>
    </row>
    <row r="133" ht="26.25" customHeight="1">
      <c r="A133" s="13"/>
      <c r="B133" s="43" t="s">
        <v>21</v>
      </c>
      <c r="C133" s="25" t="s">
        <v>22</v>
      </c>
      <c r="D133" s="26"/>
      <c r="E133" s="24">
        <v>4.0</v>
      </c>
      <c r="F133" s="27">
        <v>10.0</v>
      </c>
      <c r="G133" s="27"/>
      <c r="H133" s="24"/>
      <c r="I133" s="28">
        <v>35.0</v>
      </c>
      <c r="J133" s="28">
        <v>35.0</v>
      </c>
      <c r="K133" s="34">
        <v>40.0</v>
      </c>
      <c r="L133" s="34">
        <v>40.0</v>
      </c>
      <c r="M133" s="34"/>
      <c r="N133" s="34"/>
      <c r="O133" s="34"/>
      <c r="P133" s="34"/>
      <c r="Q133" s="34"/>
      <c r="R133" s="34"/>
      <c r="S133" s="34"/>
      <c r="T133" s="31"/>
    </row>
    <row r="134" ht="26.25" customHeight="1">
      <c r="A134" s="13"/>
      <c r="B134" s="43" t="s">
        <v>21</v>
      </c>
      <c r="C134" s="25" t="s">
        <v>23</v>
      </c>
      <c r="D134" s="26"/>
      <c r="E134" s="24">
        <v>4.0</v>
      </c>
      <c r="F134" s="27">
        <v>10.0</v>
      </c>
      <c r="G134" s="27"/>
      <c r="H134" s="24"/>
      <c r="I134" s="28">
        <v>35.0</v>
      </c>
      <c r="J134" s="28">
        <v>35.0</v>
      </c>
      <c r="K134" s="34">
        <v>40.0</v>
      </c>
      <c r="L134" s="34">
        <v>40.0</v>
      </c>
      <c r="M134" s="34"/>
      <c r="N134" s="34"/>
      <c r="O134" s="34"/>
      <c r="P134" s="34"/>
      <c r="Q134" s="34"/>
      <c r="R134" s="34"/>
      <c r="S134" s="34"/>
      <c r="T134" s="31"/>
    </row>
    <row r="135" ht="26.25" customHeight="1">
      <c r="A135" s="13"/>
      <c r="B135" s="31"/>
      <c r="C135" s="32" t="str">
        <f>IF(D135&lt;&gt;"", HYPERLINK(VLOOKUP(D135, DATA!H:K, 4, FALSE), D135), "")</f>
        <v/>
      </c>
      <c r="D135" s="33"/>
      <c r="E135" s="30"/>
      <c r="F135" s="27"/>
      <c r="G135" s="38"/>
      <c r="H135" s="3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28"/>
      <c r="T135" s="31"/>
    </row>
    <row r="136" ht="11.25" customHeight="1">
      <c r="A136" s="13"/>
      <c r="B136" s="37"/>
    </row>
    <row r="137" ht="11.25" customHeight="1">
      <c r="A137" s="13"/>
      <c r="B137" s="39"/>
      <c r="U137" s="16"/>
    </row>
    <row r="138" ht="18.75" customHeight="1">
      <c r="A138" s="13"/>
      <c r="B138" s="15" t="s">
        <v>35</v>
      </c>
      <c r="U138" s="16"/>
    </row>
    <row r="139" ht="30.0" customHeight="1">
      <c r="A139" s="13"/>
      <c r="B139" s="17"/>
      <c r="C139" s="18" t="b">
        <v>1</v>
      </c>
      <c r="D139" s="18"/>
      <c r="E139" s="19" t="str">
        <f>IFS(C139=FALSE, "⬅️ Check when DONE", C139=TRUE, "☑️ Workout Completed", TRUE, "")</f>
        <v>☑️ Workout Completed</v>
      </c>
      <c r="H139" s="19"/>
      <c r="I139" s="20">
        <v>1.0</v>
      </c>
      <c r="J139" s="20">
        <v>2.0</v>
      </c>
      <c r="K139" s="20">
        <v>3.0</v>
      </c>
      <c r="L139" s="20">
        <v>4.0</v>
      </c>
      <c r="M139" s="20">
        <v>5.0</v>
      </c>
      <c r="N139" s="20">
        <v>6.0</v>
      </c>
      <c r="O139" s="20">
        <v>7.0</v>
      </c>
      <c r="P139" s="20">
        <v>8.0</v>
      </c>
      <c r="Q139" s="20">
        <v>9.0</v>
      </c>
      <c r="R139" s="20">
        <v>10.0</v>
      </c>
      <c r="S139" s="20"/>
      <c r="T139" s="22">
        <v>45691.0</v>
      </c>
      <c r="U139" s="23"/>
    </row>
    <row r="140" ht="26.25" customHeight="1">
      <c r="A140" s="13"/>
      <c r="B140" s="30" t="s">
        <v>17</v>
      </c>
      <c r="C140" s="32" t="s">
        <v>45</v>
      </c>
      <c r="D140" s="33"/>
      <c r="E140" s="24">
        <v>4.0</v>
      </c>
      <c r="F140" s="27">
        <v>10.0</v>
      </c>
      <c r="G140" s="38"/>
      <c r="H140" s="30"/>
      <c r="I140" s="34">
        <v>100.0</v>
      </c>
      <c r="J140" s="34">
        <v>115.0</v>
      </c>
      <c r="K140" s="34">
        <v>130.0</v>
      </c>
      <c r="L140" s="34">
        <v>130.0</v>
      </c>
      <c r="M140" s="34"/>
      <c r="N140" s="34"/>
      <c r="O140" s="34"/>
      <c r="P140" s="34"/>
      <c r="Q140" s="34"/>
      <c r="R140" s="34"/>
      <c r="S140" s="34"/>
      <c r="T140" s="30"/>
    </row>
    <row r="141" ht="26.25" customHeight="1">
      <c r="A141" s="13"/>
      <c r="B141" s="24" t="s">
        <v>17</v>
      </c>
      <c r="C141" s="25" t="s">
        <v>25</v>
      </c>
      <c r="D141" s="26"/>
      <c r="E141" s="24">
        <v>4.0</v>
      </c>
      <c r="F141" s="27">
        <v>10.0</v>
      </c>
      <c r="G141" s="27"/>
      <c r="H141" s="24"/>
      <c r="I141" s="34">
        <v>35.0</v>
      </c>
      <c r="J141" s="34">
        <v>35.0</v>
      </c>
      <c r="K141" s="34">
        <v>35.0</v>
      </c>
      <c r="L141" s="34">
        <v>35.0</v>
      </c>
      <c r="M141" s="34"/>
      <c r="N141" s="34"/>
      <c r="O141" s="34"/>
      <c r="P141" s="34"/>
      <c r="Q141" s="34"/>
      <c r="R141" s="34"/>
      <c r="S141" s="34"/>
      <c r="T141" s="31"/>
    </row>
    <row r="142" ht="26.25" customHeight="1">
      <c r="A142" s="13"/>
      <c r="B142" s="30" t="s">
        <v>21</v>
      </c>
      <c r="C142" s="25" t="s">
        <v>28</v>
      </c>
      <c r="D142" s="26"/>
      <c r="E142" s="24">
        <v>4.0</v>
      </c>
      <c r="F142" s="27">
        <v>10.0</v>
      </c>
      <c r="G142" s="27"/>
      <c r="H142" s="24"/>
      <c r="I142" s="28">
        <v>50.0</v>
      </c>
      <c r="J142" s="28"/>
      <c r="K142" s="28"/>
      <c r="L142" s="28"/>
      <c r="M142" s="34"/>
      <c r="N142" s="34"/>
      <c r="O142" s="34"/>
      <c r="P142" s="34"/>
      <c r="Q142" s="34"/>
      <c r="R142" s="34"/>
      <c r="S142" s="34"/>
      <c r="T142" s="30" t="s">
        <v>48</v>
      </c>
    </row>
    <row r="143" ht="26.25" customHeight="1">
      <c r="A143" s="13"/>
      <c r="B143" s="30" t="s">
        <v>21</v>
      </c>
      <c r="C143" s="32" t="s">
        <v>27</v>
      </c>
      <c r="D143" s="26"/>
      <c r="E143" s="24">
        <v>4.0</v>
      </c>
      <c r="F143" s="27">
        <v>10.0</v>
      </c>
      <c r="G143" s="27"/>
      <c r="H143" s="24"/>
      <c r="I143" s="34">
        <v>30.0</v>
      </c>
      <c r="J143" s="34">
        <v>30.0</v>
      </c>
      <c r="K143" s="34">
        <v>30.0</v>
      </c>
      <c r="L143" s="34">
        <v>30.0</v>
      </c>
      <c r="M143" s="34"/>
      <c r="N143" s="34"/>
      <c r="O143" s="34"/>
      <c r="P143" s="34"/>
      <c r="Q143" s="34"/>
      <c r="R143" s="34"/>
      <c r="S143" s="34"/>
      <c r="T143" s="31"/>
    </row>
    <row r="144" ht="26.25" customHeight="1">
      <c r="A144" s="13"/>
      <c r="B144" s="30"/>
      <c r="C144" s="32" t="str">
        <f>IF(D144&lt;&gt;"", HYPERLINK(VLOOKUP(D144, DATA!H:K, 4, FALSE), D144), "")</f>
        <v/>
      </c>
      <c r="D144" s="33"/>
      <c r="E144" s="30"/>
      <c r="F144" s="27"/>
      <c r="G144" s="38"/>
      <c r="H144" s="30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1"/>
    </row>
    <row r="145" ht="26.25" customHeight="1">
      <c r="A145" s="13"/>
      <c r="B145" s="35"/>
      <c r="C145" s="32" t="str">
        <f>IF(D145&lt;&gt;"", HYPERLINK(VLOOKUP(D145, DATA!H:K, 4, FALSE), D145), "")</f>
        <v/>
      </c>
      <c r="D145" s="33"/>
      <c r="E145" s="30"/>
      <c r="F145" s="27"/>
      <c r="G145" s="38"/>
      <c r="H145" s="30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1"/>
    </row>
    <row r="146" ht="26.25" customHeight="1">
      <c r="A146" s="13"/>
      <c r="B146" s="36"/>
      <c r="C146" s="32" t="str">
        <f>IF(D146&lt;&gt;"", HYPERLINK(VLOOKUP(D146, DATA!H:K, 4, FALSE), D146), "")</f>
        <v/>
      </c>
      <c r="D146" s="33"/>
      <c r="E146" s="30"/>
      <c r="F146" s="27"/>
      <c r="G146" s="38"/>
      <c r="H146" s="30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1"/>
    </row>
    <row r="147" ht="26.25" customHeight="1">
      <c r="A147" s="13"/>
      <c r="B147" s="31"/>
      <c r="C147" s="32" t="str">
        <f>IF(D147&lt;&gt;"", HYPERLINK(VLOOKUP(D147, DATA!H:K, 4, FALSE), D147), "")</f>
        <v/>
      </c>
      <c r="D147" s="33"/>
      <c r="E147" s="30"/>
      <c r="F147" s="27"/>
      <c r="G147" s="38"/>
      <c r="H147" s="30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28"/>
      <c r="T147" s="31"/>
    </row>
    <row r="148" ht="11.25" customHeight="1">
      <c r="A148" s="13"/>
      <c r="B148" s="37"/>
    </row>
    <row r="149" ht="45.0" customHeight="1">
      <c r="A149" s="13"/>
      <c r="B149" s="14" t="s">
        <v>5</v>
      </c>
      <c r="U149" s="13"/>
    </row>
    <row r="150" ht="18.75" customHeight="1">
      <c r="A150" s="13"/>
      <c r="B150" s="15" t="s">
        <v>16</v>
      </c>
      <c r="U150" s="16"/>
    </row>
    <row r="151" ht="30.0" customHeight="1">
      <c r="A151" s="13"/>
      <c r="B151" s="17"/>
      <c r="C151" s="18" t="b">
        <v>1</v>
      </c>
      <c r="D151" s="18"/>
      <c r="E151" s="19" t="str">
        <f>IFS(C151=FALSE, "⬅️ Check when DONE", C151=TRUE, "☑️ Workout Completed", TRUE, "")</f>
        <v>☑️ Workout Completed</v>
      </c>
      <c r="H151" s="19"/>
      <c r="I151" s="20">
        <v>1.0</v>
      </c>
      <c r="J151" s="20">
        <v>2.0</v>
      </c>
      <c r="K151" s="20">
        <v>3.0</v>
      </c>
      <c r="L151" s="20">
        <v>4.0</v>
      </c>
      <c r="M151" s="20">
        <v>5.0</v>
      </c>
      <c r="N151" s="20">
        <v>6.0</v>
      </c>
      <c r="O151" s="20">
        <v>7.0</v>
      </c>
      <c r="P151" s="20">
        <v>8.0</v>
      </c>
      <c r="Q151" s="20">
        <v>9.0</v>
      </c>
      <c r="R151" s="20">
        <v>10.0</v>
      </c>
      <c r="S151" s="20"/>
      <c r="T151" s="22">
        <f>T139+1</f>
        <v>45692</v>
      </c>
      <c r="U151" s="23"/>
    </row>
    <row r="152" ht="26.25" customHeight="1">
      <c r="A152" s="13"/>
      <c r="B152" s="30" t="s">
        <v>21</v>
      </c>
      <c r="C152" s="32" t="s">
        <v>39</v>
      </c>
      <c r="D152" s="33"/>
      <c r="E152" s="30"/>
      <c r="F152" s="27"/>
      <c r="G152" s="38"/>
      <c r="H152" s="30"/>
      <c r="I152" s="34">
        <v>17.5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0" t="s">
        <v>49</v>
      </c>
    </row>
    <row r="153" ht="26.25" customHeight="1">
      <c r="A153" s="13"/>
      <c r="B153" s="30" t="s">
        <v>17</v>
      </c>
      <c r="C153" s="32" t="s">
        <v>41</v>
      </c>
      <c r="D153" s="33"/>
      <c r="E153" s="30"/>
      <c r="F153" s="27"/>
      <c r="G153" s="38"/>
      <c r="H153" s="30"/>
      <c r="I153" s="34">
        <v>40.0</v>
      </c>
      <c r="J153" s="34">
        <v>40.0</v>
      </c>
      <c r="K153" s="34">
        <v>40.0</v>
      </c>
      <c r="L153" s="34">
        <v>40.0</v>
      </c>
      <c r="M153" s="34"/>
      <c r="N153" s="34"/>
      <c r="O153" s="34"/>
      <c r="P153" s="34"/>
      <c r="Q153" s="34"/>
      <c r="R153" s="34"/>
      <c r="S153" s="34"/>
      <c r="T153" s="31"/>
    </row>
    <row r="154" ht="26.25" customHeight="1">
      <c r="A154" s="13"/>
      <c r="B154" s="30"/>
      <c r="C154" s="32" t="str">
        <f>IF(D154&lt;&gt;"", HYPERLINK(VLOOKUP(D154, DATA!H:K, 4, FALSE), D154), "")</f>
        <v/>
      </c>
      <c r="D154" s="33"/>
      <c r="E154" s="30"/>
      <c r="F154" s="27"/>
      <c r="G154" s="38"/>
      <c r="H154" s="30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1"/>
    </row>
    <row r="155" ht="26.25" customHeight="1">
      <c r="A155" s="13"/>
      <c r="B155" s="30"/>
      <c r="C155" s="32" t="str">
        <f>IF(D155&lt;&gt;"", HYPERLINK(VLOOKUP(D155, DATA!H:K, 4, FALSE), D155), "")</f>
        <v/>
      </c>
      <c r="D155" s="33"/>
      <c r="E155" s="30"/>
      <c r="F155" s="27"/>
      <c r="G155" s="38"/>
      <c r="H155" s="30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1"/>
    </row>
    <row r="156" ht="26.25" customHeight="1">
      <c r="A156" s="13"/>
      <c r="B156" s="30"/>
      <c r="C156" s="32" t="str">
        <f>IF(D156&lt;&gt;"", HYPERLINK(VLOOKUP(D156, DATA!H:K, 4, FALSE), D156), "")</f>
        <v/>
      </c>
      <c r="D156" s="33"/>
      <c r="E156" s="30"/>
      <c r="F156" s="27"/>
      <c r="G156" s="38"/>
      <c r="H156" s="30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1"/>
    </row>
    <row r="157" ht="26.25" customHeight="1">
      <c r="A157" s="13"/>
      <c r="B157" s="35"/>
      <c r="C157" s="32" t="str">
        <f>IF(D157&lt;&gt;"", HYPERLINK(VLOOKUP(D157, DATA!H:K, 4, FALSE), D157), "")</f>
        <v/>
      </c>
      <c r="D157" s="33"/>
      <c r="E157" s="30"/>
      <c r="F157" s="27"/>
      <c r="G157" s="38"/>
      <c r="H157" s="30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1"/>
    </row>
    <row r="158" ht="26.25" customHeight="1">
      <c r="A158" s="13"/>
      <c r="B158" s="36"/>
      <c r="C158" s="32" t="str">
        <f>IF(D158&lt;&gt;"", HYPERLINK(VLOOKUP(D158, DATA!H:K, 4, FALSE), D158), "")</f>
        <v/>
      </c>
      <c r="D158" s="33"/>
      <c r="E158" s="30"/>
      <c r="F158" s="27"/>
      <c r="G158" s="38"/>
      <c r="H158" s="30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1"/>
    </row>
    <row r="159" ht="26.25" customHeight="1">
      <c r="A159" s="13"/>
      <c r="B159" s="31"/>
      <c r="C159" s="32" t="str">
        <f>IF(D159&lt;&gt;"", HYPERLINK(VLOOKUP(D159, DATA!H:K, 4, FALSE), D159), "")</f>
        <v/>
      </c>
      <c r="D159" s="33"/>
      <c r="E159" s="30"/>
      <c r="F159" s="27"/>
      <c r="G159" s="38"/>
      <c r="H159" s="30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28"/>
      <c r="T159" s="31"/>
    </row>
    <row r="160" ht="11.25" customHeight="1">
      <c r="A160" s="13"/>
      <c r="B160" s="37"/>
    </row>
    <row r="161" ht="11.25" customHeight="1">
      <c r="A161" s="13"/>
      <c r="B161" s="39"/>
      <c r="U161" s="16"/>
    </row>
    <row r="162" ht="18.75" customHeight="1">
      <c r="A162" s="13"/>
      <c r="B162" s="15" t="s">
        <v>24</v>
      </c>
      <c r="U162" s="16"/>
    </row>
    <row r="163" ht="30.0" customHeight="1">
      <c r="A163" s="13"/>
      <c r="B163" s="17"/>
      <c r="C163" s="18" t="b">
        <v>1</v>
      </c>
      <c r="D163" s="18"/>
      <c r="E163" s="19" t="str">
        <f>IFS(C163=FALSE, "⬅️ Check when DONE", C163=TRUE, "☑️ Workout Completed", TRUE, "")</f>
        <v>☑️ Workout Completed</v>
      </c>
      <c r="H163" s="19"/>
      <c r="I163" s="20">
        <v>1.0</v>
      </c>
      <c r="J163" s="20">
        <v>2.0</v>
      </c>
      <c r="K163" s="20">
        <v>3.0</v>
      </c>
      <c r="L163" s="20">
        <v>4.0</v>
      </c>
      <c r="M163" s="20">
        <v>5.0</v>
      </c>
      <c r="N163" s="20">
        <v>6.0</v>
      </c>
      <c r="O163" s="20">
        <v>7.0</v>
      </c>
      <c r="P163" s="20">
        <v>8.0</v>
      </c>
      <c r="Q163" s="20">
        <v>9.0</v>
      </c>
      <c r="R163" s="20">
        <v>10.0</v>
      </c>
      <c r="S163" s="20"/>
      <c r="T163" s="22">
        <f>T151+1</f>
        <v>45693</v>
      </c>
      <c r="U163" s="23"/>
    </row>
    <row r="164" ht="26.25" customHeight="1">
      <c r="A164" s="13"/>
      <c r="B164" s="30" t="s">
        <v>17</v>
      </c>
      <c r="C164" s="32" t="s">
        <v>30</v>
      </c>
      <c r="D164" s="33" t="s">
        <v>36</v>
      </c>
      <c r="E164" s="30">
        <v>4.0</v>
      </c>
      <c r="F164" s="38">
        <v>10.0</v>
      </c>
      <c r="G164" s="38"/>
      <c r="H164" s="30"/>
      <c r="I164" s="34">
        <v>95.0</v>
      </c>
      <c r="J164" s="34">
        <v>95.0</v>
      </c>
      <c r="K164" s="34">
        <v>95.0</v>
      </c>
      <c r="L164" s="34">
        <v>95.0</v>
      </c>
      <c r="M164" s="34"/>
      <c r="N164" s="34"/>
      <c r="O164" s="34"/>
      <c r="P164" s="34"/>
      <c r="Q164" s="34"/>
      <c r="R164" s="34"/>
      <c r="S164" s="30"/>
      <c r="T164" s="30" t="s">
        <v>37</v>
      </c>
    </row>
    <row r="165" ht="26.25" customHeight="1">
      <c r="A165" s="13"/>
      <c r="B165" s="30" t="s">
        <v>21</v>
      </c>
      <c r="C165" s="32" t="s">
        <v>38</v>
      </c>
      <c r="D165" s="33"/>
      <c r="E165" s="30">
        <v>5.0</v>
      </c>
      <c r="F165" s="38">
        <v>10.0</v>
      </c>
      <c r="G165" s="38"/>
      <c r="H165" s="30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0"/>
      <c r="T165" s="30" t="s">
        <v>20</v>
      </c>
    </row>
    <row r="166" ht="26.25" customHeight="1">
      <c r="A166" s="13"/>
      <c r="B166" s="30"/>
      <c r="C166" s="32" t="str">
        <f>IF(D166&lt;&gt;"", HYPERLINK(VLOOKUP(D166, DATA!H:K, 4, FALSE), D166), "")</f>
        <v/>
      </c>
      <c r="D166" s="33"/>
      <c r="E166" s="30"/>
      <c r="F166" s="27"/>
      <c r="G166" s="38"/>
      <c r="H166" s="30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1"/>
    </row>
    <row r="167" ht="26.25" customHeight="1">
      <c r="A167" s="13"/>
      <c r="B167" s="30"/>
      <c r="C167" s="32" t="str">
        <f>IF(D167&lt;&gt;"", HYPERLINK(VLOOKUP(D167, DATA!H:K, 4, FALSE), D167), "")</f>
        <v/>
      </c>
      <c r="D167" s="33"/>
      <c r="E167" s="30"/>
      <c r="F167" s="27"/>
      <c r="G167" s="38"/>
      <c r="H167" s="30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1"/>
    </row>
    <row r="168" ht="26.25" customHeight="1">
      <c r="A168" s="13"/>
      <c r="B168" s="30"/>
      <c r="C168" s="32" t="str">
        <f>IF(D168&lt;&gt;"", HYPERLINK(VLOOKUP(D168, DATA!H:K, 4, FALSE), D168), "")</f>
        <v/>
      </c>
      <c r="D168" s="33"/>
      <c r="E168" s="30"/>
      <c r="F168" s="27"/>
      <c r="G168" s="38"/>
      <c r="H168" s="30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1"/>
    </row>
    <row r="169" ht="26.25" customHeight="1">
      <c r="A169" s="13"/>
      <c r="B169" s="35"/>
      <c r="C169" s="32" t="str">
        <f>IF(D169&lt;&gt;"", HYPERLINK(VLOOKUP(D169, DATA!H:K, 4, FALSE), D169), "")</f>
        <v/>
      </c>
      <c r="D169" s="33"/>
      <c r="E169" s="30"/>
      <c r="F169" s="27"/>
      <c r="G169" s="38"/>
      <c r="H169" s="30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1"/>
    </row>
    <row r="170" ht="26.25" customHeight="1">
      <c r="A170" s="13"/>
      <c r="B170" s="36"/>
      <c r="C170" s="32" t="str">
        <f>IF(D170&lt;&gt;"", HYPERLINK(VLOOKUP(D170, DATA!H:K, 4, FALSE), D170), "")</f>
        <v/>
      </c>
      <c r="D170" s="33"/>
      <c r="E170" s="30"/>
      <c r="F170" s="27"/>
      <c r="G170" s="38"/>
      <c r="H170" s="30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1"/>
    </row>
    <row r="171" ht="26.25" customHeight="1">
      <c r="A171" s="13"/>
      <c r="B171" s="31"/>
      <c r="C171" s="32" t="str">
        <f>IF(D171&lt;&gt;"", HYPERLINK(VLOOKUP(D171, DATA!H:K, 4, FALSE), D171), "")</f>
        <v/>
      </c>
      <c r="D171" s="33"/>
      <c r="E171" s="30"/>
      <c r="F171" s="27"/>
      <c r="G171" s="38"/>
      <c r="H171" s="30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28"/>
      <c r="T171" s="31"/>
    </row>
    <row r="172" ht="11.25" customHeight="1">
      <c r="A172" s="13"/>
      <c r="B172" s="37"/>
    </row>
    <row r="173" ht="11.25" customHeight="1">
      <c r="A173" s="13"/>
      <c r="B173" s="39"/>
      <c r="U173" s="16"/>
    </row>
    <row r="174" ht="18.75" customHeight="1">
      <c r="A174" s="13"/>
      <c r="B174" s="15" t="s">
        <v>29</v>
      </c>
      <c r="U174" s="16"/>
    </row>
    <row r="175" ht="30.0" customHeight="1">
      <c r="A175" s="13"/>
      <c r="B175" s="17"/>
      <c r="C175" s="18" t="b">
        <v>1</v>
      </c>
      <c r="D175" s="18"/>
      <c r="E175" s="19" t="str">
        <f>IFS(C175=FALSE, "⬅️ Check when DONE", C175=TRUE, "☑️ Workout Completed", TRUE, "")</f>
        <v>☑️ Workout Completed</v>
      </c>
      <c r="H175" s="19"/>
      <c r="I175" s="20">
        <v>1.0</v>
      </c>
      <c r="J175" s="20">
        <v>2.0</v>
      </c>
      <c r="K175" s="20">
        <v>3.0</v>
      </c>
      <c r="L175" s="20">
        <v>4.0</v>
      </c>
      <c r="M175" s="20">
        <v>5.0</v>
      </c>
      <c r="N175" s="20">
        <v>6.0</v>
      </c>
      <c r="O175" s="20">
        <v>7.0</v>
      </c>
      <c r="P175" s="20">
        <v>8.0</v>
      </c>
      <c r="Q175" s="20">
        <v>9.0</v>
      </c>
      <c r="R175" s="20">
        <v>10.0</v>
      </c>
      <c r="S175" s="20"/>
      <c r="T175" s="22">
        <f>T163+1</f>
        <v>45694</v>
      </c>
      <c r="U175" s="23"/>
    </row>
    <row r="176" ht="26.25" customHeight="1">
      <c r="A176" s="13"/>
      <c r="B176" s="24" t="s">
        <v>17</v>
      </c>
      <c r="C176" s="25" t="s">
        <v>18</v>
      </c>
      <c r="D176" s="26"/>
      <c r="E176" s="24">
        <v>4.0</v>
      </c>
      <c r="F176" s="27">
        <v>10.0</v>
      </c>
      <c r="G176" s="27"/>
      <c r="H176" s="24"/>
      <c r="I176" s="28">
        <v>55.0</v>
      </c>
      <c r="J176" s="34">
        <v>55.0</v>
      </c>
      <c r="K176" s="28">
        <v>60.0</v>
      </c>
      <c r="L176" s="28">
        <v>60.0</v>
      </c>
      <c r="M176" s="34"/>
      <c r="N176" s="34"/>
      <c r="O176" s="34"/>
      <c r="P176" s="34"/>
      <c r="Q176" s="34"/>
      <c r="R176" s="34"/>
      <c r="S176" s="34"/>
      <c r="T176" s="31"/>
    </row>
    <row r="177" ht="26.25" customHeight="1">
      <c r="A177" s="13"/>
      <c r="B177" s="24" t="s">
        <v>17</v>
      </c>
      <c r="C177" s="25" t="s">
        <v>19</v>
      </c>
      <c r="D177" s="26"/>
      <c r="E177" s="24">
        <v>4.0</v>
      </c>
      <c r="F177" s="27">
        <v>10.0</v>
      </c>
      <c r="G177" s="27"/>
      <c r="H177" s="24"/>
      <c r="I177" s="28"/>
      <c r="J177" s="28"/>
      <c r="K177" s="28"/>
      <c r="L177" s="28"/>
      <c r="M177" s="34"/>
      <c r="N177" s="34"/>
      <c r="O177" s="34"/>
      <c r="P177" s="34"/>
      <c r="Q177" s="34"/>
      <c r="R177" s="34"/>
      <c r="S177" s="34"/>
      <c r="T177" s="31"/>
    </row>
    <row r="178" ht="26.25" customHeight="1">
      <c r="A178" s="13"/>
      <c r="B178" s="24" t="s">
        <v>21</v>
      </c>
      <c r="C178" s="25" t="s">
        <v>22</v>
      </c>
      <c r="D178" s="26"/>
      <c r="E178" s="24">
        <v>4.0</v>
      </c>
      <c r="F178" s="27">
        <v>10.0</v>
      </c>
      <c r="G178" s="27"/>
      <c r="H178" s="24"/>
      <c r="I178" s="28">
        <v>35.0</v>
      </c>
      <c r="J178" s="28">
        <v>35.0</v>
      </c>
      <c r="K178" s="34">
        <v>40.0</v>
      </c>
      <c r="L178" s="34">
        <v>40.0</v>
      </c>
      <c r="M178" s="34"/>
      <c r="N178" s="34"/>
      <c r="O178" s="34"/>
      <c r="P178" s="34"/>
      <c r="Q178" s="34"/>
      <c r="R178" s="34"/>
      <c r="S178" s="34"/>
      <c r="T178" s="31"/>
    </row>
    <row r="179" ht="26.25" customHeight="1">
      <c r="A179" s="13"/>
      <c r="B179" s="24" t="s">
        <v>21</v>
      </c>
      <c r="C179" s="25" t="s">
        <v>23</v>
      </c>
      <c r="D179" s="26"/>
      <c r="E179" s="24">
        <v>4.0</v>
      </c>
      <c r="F179" s="27">
        <v>10.0</v>
      </c>
      <c r="G179" s="27"/>
      <c r="H179" s="24"/>
      <c r="I179" s="28">
        <v>35.0</v>
      </c>
      <c r="J179" s="28">
        <v>35.0</v>
      </c>
      <c r="K179" s="34">
        <v>40.0</v>
      </c>
      <c r="L179" s="34">
        <v>40.0</v>
      </c>
      <c r="M179" s="34"/>
      <c r="N179" s="34"/>
      <c r="O179" s="34"/>
      <c r="P179" s="34"/>
      <c r="Q179" s="34"/>
      <c r="R179" s="34"/>
      <c r="S179" s="34"/>
      <c r="T179" s="31"/>
    </row>
    <row r="180" ht="26.25" customHeight="1">
      <c r="A180" s="13"/>
      <c r="B180" s="30"/>
      <c r="C180" s="32" t="str">
        <f>IF(D180&lt;&gt;"", HYPERLINK(VLOOKUP(D180, DATA!H:K, 4, FALSE), D180), "")</f>
        <v/>
      </c>
      <c r="D180" s="33"/>
      <c r="E180" s="30"/>
      <c r="F180" s="27"/>
      <c r="G180" s="38"/>
      <c r="H180" s="30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1"/>
    </row>
    <row r="181" ht="26.25" customHeight="1">
      <c r="A181" s="13"/>
      <c r="B181" s="35"/>
      <c r="C181" s="32" t="str">
        <f>IF(D181&lt;&gt;"", HYPERLINK(VLOOKUP(D181, DATA!H:K, 4, FALSE), D181), "")</f>
        <v/>
      </c>
      <c r="D181" s="33"/>
      <c r="E181" s="30"/>
      <c r="F181" s="27"/>
      <c r="G181" s="38"/>
      <c r="H181" s="30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1"/>
    </row>
    <row r="182" ht="26.25" customHeight="1">
      <c r="A182" s="13"/>
      <c r="B182" s="36"/>
      <c r="C182" s="32" t="str">
        <f>IF(D182&lt;&gt;"", HYPERLINK(VLOOKUP(D182, DATA!H:K, 4, FALSE), D182), "")</f>
        <v/>
      </c>
      <c r="D182" s="33"/>
      <c r="E182" s="30"/>
      <c r="F182" s="27"/>
      <c r="G182" s="38"/>
      <c r="H182" s="30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1"/>
    </row>
    <row r="183" ht="26.25" customHeight="1">
      <c r="A183" s="13"/>
      <c r="B183" s="31"/>
      <c r="C183" s="32" t="str">
        <f>IF(D183&lt;&gt;"", HYPERLINK(VLOOKUP(D183, DATA!H:K, 4, FALSE), D183), "")</f>
        <v/>
      </c>
      <c r="D183" s="33"/>
      <c r="E183" s="30"/>
      <c r="F183" s="27"/>
      <c r="G183" s="38"/>
      <c r="H183" s="30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28"/>
      <c r="T183" s="31"/>
    </row>
    <row r="184" ht="11.25" customHeight="1">
      <c r="A184" s="13"/>
      <c r="B184" s="37"/>
    </row>
    <row r="185" ht="11.25" customHeight="1">
      <c r="A185" s="13"/>
      <c r="B185" s="39"/>
      <c r="U185" s="16"/>
    </row>
    <row r="186" ht="18.75" customHeight="1">
      <c r="A186" s="13"/>
      <c r="B186" s="15" t="s">
        <v>32</v>
      </c>
      <c r="U186" s="16"/>
    </row>
    <row r="187" ht="30.0" customHeight="1">
      <c r="A187" s="13"/>
      <c r="B187" s="17"/>
      <c r="C187" s="18" t="b">
        <v>1</v>
      </c>
      <c r="D187" s="18"/>
      <c r="E187" s="19" t="str">
        <f>IFS(C187=FALSE, "⬅️ Check when DONE", C187=TRUE, "☑️ Workout Completed", TRUE, "")</f>
        <v>☑️ Workout Completed</v>
      </c>
      <c r="H187" s="19"/>
      <c r="I187" s="20">
        <v>1.0</v>
      </c>
      <c r="J187" s="20">
        <v>2.0</v>
      </c>
      <c r="K187" s="20">
        <v>3.0</v>
      </c>
      <c r="L187" s="20">
        <v>4.0</v>
      </c>
      <c r="M187" s="20">
        <v>5.0</v>
      </c>
      <c r="N187" s="20">
        <v>6.0</v>
      </c>
      <c r="O187" s="20">
        <v>7.0</v>
      </c>
      <c r="P187" s="20">
        <v>8.0</v>
      </c>
      <c r="Q187" s="20">
        <v>9.0</v>
      </c>
      <c r="R187" s="20">
        <v>10.0</v>
      </c>
      <c r="S187" s="20"/>
      <c r="T187" s="22">
        <f>T175+1</f>
        <v>45695</v>
      </c>
      <c r="U187" s="23"/>
    </row>
    <row r="188" ht="26.25" customHeight="1">
      <c r="A188" s="13"/>
      <c r="B188" s="30" t="s">
        <v>17</v>
      </c>
      <c r="C188" s="32" t="s">
        <v>45</v>
      </c>
      <c r="D188" s="33"/>
      <c r="E188" s="24">
        <v>4.0</v>
      </c>
      <c r="F188" s="27">
        <v>10.0</v>
      </c>
      <c r="G188" s="38"/>
      <c r="H188" s="30"/>
      <c r="I188" s="34">
        <v>100.0</v>
      </c>
      <c r="J188" s="34">
        <v>115.0</v>
      </c>
      <c r="K188" s="34">
        <v>130.0</v>
      </c>
      <c r="L188" s="34">
        <v>130.0</v>
      </c>
      <c r="M188" s="34"/>
      <c r="N188" s="34"/>
      <c r="O188" s="34"/>
      <c r="P188" s="34"/>
      <c r="Q188" s="34"/>
      <c r="R188" s="34"/>
      <c r="S188" s="34"/>
      <c r="T188" s="30"/>
    </row>
    <row r="189" ht="26.25" customHeight="1">
      <c r="A189" s="13"/>
      <c r="B189" s="24" t="s">
        <v>17</v>
      </c>
      <c r="C189" s="25" t="s">
        <v>25</v>
      </c>
      <c r="D189" s="26"/>
      <c r="E189" s="24">
        <v>4.0</v>
      </c>
      <c r="F189" s="27">
        <v>10.0</v>
      </c>
      <c r="G189" s="27"/>
      <c r="H189" s="24"/>
      <c r="I189" s="34">
        <v>35.0</v>
      </c>
      <c r="J189" s="34">
        <v>35.0</v>
      </c>
      <c r="K189" s="34">
        <v>35.0</v>
      </c>
      <c r="L189" s="34">
        <v>35.0</v>
      </c>
      <c r="M189" s="34"/>
      <c r="N189" s="34"/>
      <c r="O189" s="34"/>
      <c r="P189" s="34"/>
      <c r="Q189" s="34"/>
      <c r="R189" s="34"/>
      <c r="S189" s="34"/>
      <c r="T189" s="31"/>
    </row>
    <row r="190" ht="26.25" customHeight="1">
      <c r="A190" s="13"/>
      <c r="B190" s="30" t="s">
        <v>21</v>
      </c>
      <c r="C190" s="25" t="s">
        <v>28</v>
      </c>
      <c r="D190" s="26"/>
      <c r="E190" s="24">
        <v>4.0</v>
      </c>
      <c r="F190" s="27">
        <v>10.0</v>
      </c>
      <c r="G190" s="27"/>
      <c r="H190" s="24"/>
      <c r="I190" s="28">
        <v>50.0</v>
      </c>
      <c r="J190" s="28"/>
      <c r="K190" s="28"/>
      <c r="L190" s="28"/>
      <c r="M190" s="34"/>
      <c r="N190" s="34"/>
      <c r="O190" s="34"/>
      <c r="P190" s="34"/>
      <c r="Q190" s="34"/>
      <c r="R190" s="34"/>
      <c r="S190" s="34"/>
      <c r="T190" s="30" t="s">
        <v>48</v>
      </c>
    </row>
    <row r="191" ht="26.25" customHeight="1">
      <c r="A191" s="13"/>
      <c r="B191" s="30" t="s">
        <v>21</v>
      </c>
      <c r="C191" s="32" t="s">
        <v>27</v>
      </c>
      <c r="D191" s="26"/>
      <c r="E191" s="24">
        <v>4.0</v>
      </c>
      <c r="F191" s="27">
        <v>10.0</v>
      </c>
      <c r="G191" s="27"/>
      <c r="H191" s="24"/>
      <c r="I191" s="34">
        <v>30.0</v>
      </c>
      <c r="J191" s="34">
        <v>30.0</v>
      </c>
      <c r="K191" s="34">
        <v>30.0</v>
      </c>
      <c r="L191" s="34">
        <v>30.0</v>
      </c>
      <c r="M191" s="34"/>
      <c r="N191" s="34"/>
      <c r="O191" s="34"/>
      <c r="P191" s="34"/>
      <c r="Q191" s="34"/>
      <c r="R191" s="34"/>
      <c r="S191" s="34"/>
      <c r="T191" s="31"/>
    </row>
    <row r="192" ht="26.25" customHeight="1">
      <c r="A192" s="13"/>
      <c r="B192" s="24"/>
      <c r="C192" s="25"/>
      <c r="D192" s="26"/>
      <c r="E192" s="24"/>
      <c r="F192" s="27"/>
      <c r="G192" s="27"/>
      <c r="H192" s="2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1"/>
    </row>
    <row r="193" ht="26.25" customHeight="1">
      <c r="A193" s="13"/>
      <c r="B193" s="35"/>
      <c r="C193" s="32"/>
      <c r="D193" s="33"/>
      <c r="E193" s="24"/>
      <c r="F193" s="27"/>
      <c r="G193" s="38"/>
      <c r="H193" s="30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1"/>
    </row>
    <row r="194" ht="26.25" customHeight="1">
      <c r="A194" s="13"/>
      <c r="B194" s="35"/>
      <c r="C194" s="32"/>
      <c r="D194" s="26"/>
      <c r="E194" s="24"/>
      <c r="F194" s="27"/>
      <c r="G194" s="27"/>
      <c r="H194" s="2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1"/>
    </row>
    <row r="195" ht="26.25" customHeight="1">
      <c r="A195" s="13"/>
      <c r="B195" s="31"/>
      <c r="C195" s="32" t="str">
        <f>IF(D195&lt;&gt;"", HYPERLINK(VLOOKUP(D195, DATA!H:K, 4, FALSE), D195), "")</f>
        <v/>
      </c>
      <c r="D195" s="33"/>
      <c r="E195" s="30"/>
      <c r="F195" s="27"/>
      <c r="G195" s="38"/>
      <c r="H195" s="30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28"/>
      <c r="T195" s="31"/>
    </row>
    <row r="196" ht="11.25" customHeight="1">
      <c r="A196" s="13"/>
      <c r="B196" s="37"/>
    </row>
    <row r="197" ht="11.25" customHeight="1">
      <c r="A197" s="13"/>
      <c r="B197" s="39"/>
      <c r="U197" s="16"/>
    </row>
    <row r="198" ht="18.75" customHeight="1">
      <c r="A198" s="13"/>
      <c r="B198" s="15" t="s">
        <v>33</v>
      </c>
      <c r="U198" s="16"/>
    </row>
    <row r="199" ht="30.0" customHeight="1">
      <c r="A199" s="13"/>
      <c r="B199" s="17"/>
      <c r="C199" s="18" t="b">
        <v>0</v>
      </c>
      <c r="D199" s="18"/>
      <c r="E199" s="19" t="str">
        <f>IFS(C199=FALSE, "⬅️ Check when DONE", C199=TRUE, "☑️ Workout Completed", TRUE, "")</f>
        <v>⬅️ Check when DONE</v>
      </c>
      <c r="H199" s="19"/>
      <c r="I199" s="20">
        <v>1.0</v>
      </c>
      <c r="J199" s="20">
        <v>2.0</v>
      </c>
      <c r="K199" s="20">
        <v>3.0</v>
      </c>
      <c r="L199" s="20">
        <v>4.0</v>
      </c>
      <c r="M199" s="20">
        <v>5.0</v>
      </c>
      <c r="N199" s="20">
        <v>6.0</v>
      </c>
      <c r="O199" s="20">
        <v>7.0</v>
      </c>
      <c r="P199" s="20">
        <v>8.0</v>
      </c>
      <c r="Q199" s="20">
        <v>9.0</v>
      </c>
      <c r="R199" s="20">
        <v>10.0</v>
      </c>
      <c r="S199" s="20"/>
      <c r="T199" s="22"/>
      <c r="U199" s="23"/>
    </row>
    <row r="200" ht="26.25" customHeight="1">
      <c r="A200" s="13"/>
      <c r="B200" s="30"/>
      <c r="C200" s="32" t="str">
        <f>IF(D200&lt;&gt;"", HYPERLINK(VLOOKUP(D200, DATA!H:K, 4, FALSE), D200), "")</f>
        <v/>
      </c>
      <c r="D200" s="33"/>
      <c r="E200" s="30"/>
      <c r="F200" s="27"/>
      <c r="G200" s="38"/>
      <c r="H200" s="30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1"/>
    </row>
    <row r="201" ht="26.25" customHeight="1">
      <c r="A201" s="13"/>
      <c r="B201" s="30"/>
      <c r="C201" s="32" t="str">
        <f>IF(D201&lt;&gt;"", HYPERLINK(VLOOKUP(D201, DATA!H:K, 4, FALSE), D201), "")</f>
        <v/>
      </c>
      <c r="D201" s="33"/>
      <c r="E201" s="30"/>
      <c r="F201" s="27"/>
      <c r="G201" s="38"/>
      <c r="H201" s="30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1"/>
    </row>
    <row r="202" ht="26.25" customHeight="1">
      <c r="A202" s="13"/>
      <c r="B202" s="30"/>
      <c r="C202" s="32" t="str">
        <f>IF(D202&lt;&gt;"", HYPERLINK(VLOOKUP(D202, DATA!H:K, 4, FALSE), D202), "")</f>
        <v/>
      </c>
      <c r="D202" s="33"/>
      <c r="E202" s="30"/>
      <c r="F202" s="27"/>
      <c r="G202" s="38"/>
      <c r="H202" s="30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1"/>
    </row>
    <row r="203" ht="26.25" customHeight="1">
      <c r="A203" s="13"/>
      <c r="B203" s="30"/>
      <c r="C203" s="32" t="str">
        <f>IF(D203&lt;&gt;"", HYPERLINK(VLOOKUP(D203, DATA!H:K, 4, FALSE), D203), "")</f>
        <v/>
      </c>
      <c r="D203" s="33"/>
      <c r="E203" s="30"/>
      <c r="F203" s="27"/>
      <c r="G203" s="38"/>
      <c r="H203" s="30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1"/>
    </row>
    <row r="204" ht="26.25" customHeight="1">
      <c r="A204" s="13"/>
      <c r="B204" s="30"/>
      <c r="C204" s="32" t="str">
        <f>IF(D204&lt;&gt;"", HYPERLINK(VLOOKUP(D204, DATA!H:K, 4, FALSE), D204), "")</f>
        <v/>
      </c>
      <c r="D204" s="33"/>
      <c r="E204" s="30"/>
      <c r="F204" s="27"/>
      <c r="G204" s="38"/>
      <c r="H204" s="30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1"/>
    </row>
    <row r="205" ht="26.25" customHeight="1">
      <c r="A205" s="13"/>
      <c r="B205" s="35"/>
      <c r="C205" s="32" t="str">
        <f>IF(D205&lt;&gt;"", HYPERLINK(VLOOKUP(D205, DATA!H:K, 4, FALSE), D205), "")</f>
        <v/>
      </c>
      <c r="D205" s="33"/>
      <c r="E205" s="30"/>
      <c r="F205" s="27"/>
      <c r="G205" s="38"/>
      <c r="H205" s="30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1"/>
    </row>
    <row r="206" ht="26.25" customHeight="1">
      <c r="A206" s="13"/>
      <c r="B206" s="36"/>
      <c r="C206" s="32" t="str">
        <f>IF(D206&lt;&gt;"", HYPERLINK(VLOOKUP(D206, DATA!H:K, 4, FALSE), D206), "")</f>
        <v/>
      </c>
      <c r="D206" s="33"/>
      <c r="E206" s="30"/>
      <c r="F206" s="27"/>
      <c r="G206" s="38"/>
      <c r="H206" s="30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1"/>
    </row>
    <row r="207" ht="26.25" customHeight="1">
      <c r="A207" s="13"/>
      <c r="B207" s="31"/>
      <c r="C207" s="32" t="str">
        <f>IF(D207&lt;&gt;"", HYPERLINK(VLOOKUP(D207, DATA!H:K, 4, FALSE), D207), "")</f>
        <v/>
      </c>
      <c r="D207" s="33"/>
      <c r="E207" s="30"/>
      <c r="F207" s="27"/>
      <c r="G207" s="38"/>
      <c r="H207" s="30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28"/>
      <c r="T207" s="31"/>
    </row>
    <row r="208" ht="11.25" customHeight="1">
      <c r="A208" s="13"/>
      <c r="B208" s="37"/>
    </row>
    <row r="209" ht="11.25" customHeight="1">
      <c r="A209" s="13"/>
      <c r="B209" s="39"/>
      <c r="U209" s="16"/>
    </row>
    <row r="210" ht="18.75" customHeight="1">
      <c r="A210" s="13"/>
      <c r="B210" s="15" t="s">
        <v>35</v>
      </c>
      <c r="U210" s="44"/>
    </row>
    <row r="211" ht="30.0" customHeight="1">
      <c r="A211" s="13"/>
      <c r="B211" s="17"/>
      <c r="C211" s="18" t="b">
        <v>0</v>
      </c>
      <c r="D211" s="18"/>
      <c r="E211" s="19" t="str">
        <f>IFS(C211=FALSE, "⬅️ Check when DONE", C211=TRUE, "☑️ Workout Completed", TRUE, "")</f>
        <v>⬅️ Check when DONE</v>
      </c>
      <c r="H211" s="19"/>
      <c r="I211" s="20">
        <v>1.0</v>
      </c>
      <c r="J211" s="20">
        <v>2.0</v>
      </c>
      <c r="K211" s="20">
        <v>3.0</v>
      </c>
      <c r="L211" s="20">
        <v>4.0</v>
      </c>
      <c r="M211" s="20">
        <v>5.0</v>
      </c>
      <c r="N211" s="20">
        <v>6.0</v>
      </c>
      <c r="O211" s="20">
        <v>7.0</v>
      </c>
      <c r="P211" s="20">
        <v>8.0</v>
      </c>
      <c r="Q211" s="20">
        <v>9.0</v>
      </c>
      <c r="R211" s="20">
        <v>10.0</v>
      </c>
      <c r="S211" s="20"/>
      <c r="T211" s="22"/>
      <c r="U211" s="44"/>
    </row>
    <row r="212" ht="26.25" customHeight="1">
      <c r="A212" s="13"/>
      <c r="B212" s="30"/>
      <c r="C212" s="32" t="str">
        <f>IF(D212&lt;&gt;"", HYPERLINK(VLOOKUP(D212, DATA!H:K, 4, FALSE), D212), "")</f>
        <v/>
      </c>
      <c r="D212" s="33"/>
      <c r="E212" s="30"/>
      <c r="F212" s="27"/>
      <c r="G212" s="38"/>
      <c r="H212" s="30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1"/>
      <c r="U212" s="45"/>
    </row>
    <row r="213" ht="26.25" customHeight="1">
      <c r="A213" s="13"/>
      <c r="B213" s="30"/>
      <c r="C213" s="32" t="str">
        <f>IF(D213&lt;&gt;"", HYPERLINK(VLOOKUP(D213, DATA!H:K, 4, FALSE), D213), "")</f>
        <v/>
      </c>
      <c r="D213" s="33"/>
      <c r="E213" s="30"/>
      <c r="F213" s="27"/>
      <c r="G213" s="38"/>
      <c r="H213" s="30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1"/>
      <c r="U213" s="45"/>
    </row>
    <row r="214" ht="26.25" customHeight="1">
      <c r="A214" s="13"/>
      <c r="B214" s="30"/>
      <c r="C214" s="32" t="str">
        <f>IF(D214&lt;&gt;"", HYPERLINK(VLOOKUP(D214, DATA!H:K, 4, FALSE), D214), "")</f>
        <v/>
      </c>
      <c r="D214" s="33"/>
      <c r="E214" s="30"/>
      <c r="F214" s="27"/>
      <c r="G214" s="38"/>
      <c r="H214" s="30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1"/>
      <c r="U214" s="45"/>
    </row>
    <row r="215" ht="26.25" customHeight="1">
      <c r="A215" s="13"/>
      <c r="B215" s="30"/>
      <c r="C215" s="32" t="str">
        <f>IF(D215&lt;&gt;"", HYPERLINK(VLOOKUP(D215, DATA!H:K, 4, FALSE), D215), "")</f>
        <v/>
      </c>
      <c r="D215" s="33"/>
      <c r="E215" s="30"/>
      <c r="F215" s="27"/>
      <c r="G215" s="38"/>
      <c r="H215" s="30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1"/>
      <c r="U215" s="45"/>
    </row>
    <row r="216" ht="26.25" customHeight="1">
      <c r="A216" s="13"/>
      <c r="B216" s="30"/>
      <c r="C216" s="32" t="str">
        <f>IF(D216&lt;&gt;"", HYPERLINK(VLOOKUP(D216, DATA!H:K, 4, FALSE), D216), "")</f>
        <v/>
      </c>
      <c r="D216" s="33"/>
      <c r="E216" s="30"/>
      <c r="F216" s="27"/>
      <c r="G216" s="38"/>
      <c r="H216" s="30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1"/>
      <c r="U216" s="45"/>
    </row>
    <row r="217" ht="26.25" customHeight="1">
      <c r="A217" s="13"/>
      <c r="B217" s="35"/>
      <c r="C217" s="32" t="str">
        <f>IF(D217&lt;&gt;"", HYPERLINK(VLOOKUP(D217, DATA!H:K, 4, FALSE), D217), "")</f>
        <v/>
      </c>
      <c r="D217" s="33"/>
      <c r="E217" s="30"/>
      <c r="F217" s="27"/>
      <c r="G217" s="38"/>
      <c r="H217" s="30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1"/>
      <c r="U217" s="45"/>
    </row>
    <row r="218" ht="26.25" customHeight="1">
      <c r="A218" s="13"/>
      <c r="B218" s="36"/>
      <c r="C218" s="32" t="str">
        <f>IF(D218&lt;&gt;"", HYPERLINK(VLOOKUP(D218, DATA!H:K, 4, FALSE), D218), "")</f>
        <v/>
      </c>
      <c r="D218" s="33"/>
      <c r="E218" s="30"/>
      <c r="F218" s="27"/>
      <c r="G218" s="38"/>
      <c r="H218" s="30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1"/>
      <c r="U218" s="45"/>
    </row>
    <row r="219" ht="26.25" customHeight="1">
      <c r="A219" s="13"/>
      <c r="B219" s="31"/>
      <c r="C219" s="32" t="str">
        <f>IF(D219&lt;&gt;"", HYPERLINK(VLOOKUP(D219, DATA!H:K, 4, FALSE), D219), "")</f>
        <v/>
      </c>
      <c r="D219" s="33"/>
      <c r="E219" s="30"/>
      <c r="F219" s="27"/>
      <c r="G219" s="38"/>
      <c r="H219" s="30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28"/>
      <c r="T219" s="31"/>
      <c r="U219" s="45"/>
    </row>
    <row r="220" ht="11.25" customHeight="1">
      <c r="A220" s="13"/>
      <c r="B220" s="37"/>
      <c r="U220" s="46"/>
    </row>
    <row r="221" ht="45.0" customHeight="1">
      <c r="A221" s="13"/>
      <c r="B221" s="14" t="s">
        <v>6</v>
      </c>
      <c r="U221" s="13"/>
    </row>
    <row r="222" ht="18.75" customHeight="1">
      <c r="A222" s="13"/>
      <c r="B222" s="15" t="s">
        <v>16</v>
      </c>
      <c r="U222" s="16"/>
    </row>
    <row r="223" ht="30.0" customHeight="1">
      <c r="A223" s="13"/>
      <c r="B223" s="17"/>
      <c r="C223" s="18" t="b">
        <v>0</v>
      </c>
      <c r="D223" s="18"/>
      <c r="E223" s="19" t="str">
        <f>IFS(C223=FALSE, "⬅️ Check when DONE", C223=TRUE, "☑️ Workout Completed", TRUE, "")</f>
        <v>⬅️ Check when DONE</v>
      </c>
      <c r="H223" s="19"/>
      <c r="I223" s="20">
        <v>1.0</v>
      </c>
      <c r="J223" s="20">
        <v>2.0</v>
      </c>
      <c r="K223" s="20">
        <v>3.0</v>
      </c>
      <c r="L223" s="20">
        <v>4.0</v>
      </c>
      <c r="M223" s="20">
        <v>5.0</v>
      </c>
      <c r="N223" s="20">
        <v>6.0</v>
      </c>
      <c r="O223" s="20">
        <v>7.0</v>
      </c>
      <c r="P223" s="20">
        <v>8.0</v>
      </c>
      <c r="Q223" s="20">
        <v>9.0</v>
      </c>
      <c r="R223" s="20">
        <v>10.0</v>
      </c>
      <c r="S223" s="20"/>
      <c r="T223" s="22"/>
      <c r="U223" s="23"/>
    </row>
    <row r="224" ht="26.25" customHeight="1">
      <c r="A224" s="13"/>
      <c r="B224" s="30"/>
      <c r="C224" s="32" t="str">
        <f>IF(D224&lt;&gt;"", HYPERLINK(VLOOKUP(D224, DATA!H:K, 4, FALSE), D224), "")</f>
        <v/>
      </c>
      <c r="D224" s="33"/>
      <c r="E224" s="30"/>
      <c r="F224" s="27"/>
      <c r="G224" s="38"/>
      <c r="H224" s="30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1"/>
    </row>
    <row r="225" ht="26.25" customHeight="1">
      <c r="A225" s="13"/>
      <c r="B225" s="30"/>
      <c r="C225" s="32" t="str">
        <f>IF(D225&lt;&gt;"", HYPERLINK(VLOOKUP(D225, DATA!H:K, 4, FALSE), D225), "")</f>
        <v/>
      </c>
      <c r="D225" s="33"/>
      <c r="E225" s="30"/>
      <c r="F225" s="27"/>
      <c r="G225" s="38"/>
      <c r="H225" s="30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1"/>
    </row>
    <row r="226" ht="26.25" customHeight="1">
      <c r="A226" s="13"/>
      <c r="B226" s="30"/>
      <c r="C226" s="32" t="str">
        <f>IF(D226&lt;&gt;"", HYPERLINK(VLOOKUP(D226, DATA!H:K, 4, FALSE), D226), "")</f>
        <v/>
      </c>
      <c r="D226" s="33"/>
      <c r="E226" s="30"/>
      <c r="F226" s="27"/>
      <c r="G226" s="38"/>
      <c r="H226" s="30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1"/>
    </row>
    <row r="227" ht="26.25" customHeight="1">
      <c r="A227" s="13"/>
      <c r="B227" s="30"/>
      <c r="C227" s="32" t="str">
        <f>IF(D227&lt;&gt;"", HYPERLINK(VLOOKUP(D227, DATA!H:K, 4, FALSE), D227), "")</f>
        <v/>
      </c>
      <c r="D227" s="33"/>
      <c r="E227" s="30"/>
      <c r="F227" s="27"/>
      <c r="G227" s="38"/>
      <c r="H227" s="30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1"/>
    </row>
    <row r="228" ht="26.25" customHeight="1">
      <c r="A228" s="13"/>
      <c r="B228" s="30"/>
      <c r="C228" s="32" t="str">
        <f>IF(D228&lt;&gt;"", HYPERLINK(VLOOKUP(D228, DATA!H:K, 4, FALSE), D228), "")</f>
        <v/>
      </c>
      <c r="D228" s="33"/>
      <c r="E228" s="30"/>
      <c r="F228" s="27"/>
      <c r="G228" s="38"/>
      <c r="H228" s="30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1"/>
    </row>
    <row r="229" ht="26.25" customHeight="1">
      <c r="A229" s="13"/>
      <c r="B229" s="35"/>
      <c r="C229" s="32" t="str">
        <f>IF(D229&lt;&gt;"", HYPERLINK(VLOOKUP(D229, DATA!H:K, 4, FALSE), D229), "")</f>
        <v/>
      </c>
      <c r="D229" s="33"/>
      <c r="E229" s="30"/>
      <c r="F229" s="27"/>
      <c r="G229" s="38"/>
      <c r="H229" s="30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1"/>
    </row>
    <row r="230" ht="26.25" customHeight="1">
      <c r="A230" s="13"/>
      <c r="B230" s="36"/>
      <c r="C230" s="32" t="str">
        <f>IF(D230&lt;&gt;"", HYPERLINK(VLOOKUP(D230, DATA!H:K, 4, FALSE), D230), "")</f>
        <v/>
      </c>
      <c r="D230" s="33"/>
      <c r="E230" s="30"/>
      <c r="F230" s="27"/>
      <c r="G230" s="38"/>
      <c r="H230" s="30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1"/>
    </row>
    <row r="231" ht="26.25" customHeight="1">
      <c r="A231" s="13"/>
      <c r="B231" s="31"/>
      <c r="C231" s="32" t="str">
        <f>IF(D231&lt;&gt;"", HYPERLINK(VLOOKUP(D231, DATA!H:K, 4, FALSE), D231), "")</f>
        <v/>
      </c>
      <c r="D231" s="33"/>
      <c r="E231" s="30"/>
      <c r="F231" s="27"/>
      <c r="G231" s="38"/>
      <c r="H231" s="30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28"/>
      <c r="T231" s="31"/>
    </row>
    <row r="232" ht="11.25" customHeight="1">
      <c r="A232" s="13"/>
      <c r="B232" s="37"/>
    </row>
    <row r="233" ht="11.25" customHeight="1">
      <c r="A233" s="13"/>
      <c r="B233" s="39"/>
      <c r="U233" s="16"/>
    </row>
    <row r="234" ht="18.75" customHeight="1">
      <c r="A234" s="13"/>
      <c r="B234" s="15" t="s">
        <v>24</v>
      </c>
      <c r="U234" s="16"/>
    </row>
    <row r="235" ht="30.0" customHeight="1">
      <c r="A235" s="13"/>
      <c r="B235" s="17"/>
      <c r="C235" s="18" t="b">
        <v>0</v>
      </c>
      <c r="D235" s="18"/>
      <c r="E235" s="19" t="str">
        <f>IFS(C235=FALSE, "⬅️ Check when DONE", C235=TRUE, "☑️ Workout Completed", TRUE, "")</f>
        <v>⬅️ Check when DONE</v>
      </c>
      <c r="H235" s="19"/>
      <c r="I235" s="20">
        <v>1.0</v>
      </c>
      <c r="J235" s="20">
        <v>2.0</v>
      </c>
      <c r="K235" s="20">
        <v>3.0</v>
      </c>
      <c r="L235" s="20">
        <v>4.0</v>
      </c>
      <c r="M235" s="20">
        <v>5.0</v>
      </c>
      <c r="N235" s="20">
        <v>6.0</v>
      </c>
      <c r="O235" s="20">
        <v>7.0</v>
      </c>
      <c r="P235" s="20">
        <v>8.0</v>
      </c>
      <c r="Q235" s="20">
        <v>9.0</v>
      </c>
      <c r="R235" s="20">
        <v>10.0</v>
      </c>
      <c r="S235" s="20"/>
      <c r="T235" s="22"/>
      <c r="U235" s="23"/>
    </row>
    <row r="236" ht="26.25" customHeight="1">
      <c r="A236" s="13"/>
      <c r="B236" s="30"/>
      <c r="C236" s="32" t="str">
        <f>IF(D236&lt;&gt;"", HYPERLINK(VLOOKUP(D236, DATA!H:K, 4, FALSE), D236), "")</f>
        <v/>
      </c>
      <c r="D236" s="33"/>
      <c r="E236" s="30"/>
      <c r="F236" s="27"/>
      <c r="G236" s="38"/>
      <c r="H236" s="30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1"/>
    </row>
    <row r="237" ht="26.25" customHeight="1">
      <c r="A237" s="13"/>
      <c r="B237" s="30"/>
      <c r="C237" s="32" t="str">
        <f>IF(D237&lt;&gt;"", HYPERLINK(VLOOKUP(D237, DATA!H:K, 4, FALSE), D237), "")</f>
        <v/>
      </c>
      <c r="D237" s="33"/>
      <c r="E237" s="30"/>
      <c r="F237" s="27"/>
      <c r="G237" s="38"/>
      <c r="H237" s="30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1"/>
    </row>
    <row r="238" ht="26.25" customHeight="1">
      <c r="A238" s="13"/>
      <c r="B238" s="30"/>
      <c r="C238" s="32" t="str">
        <f>IF(D238&lt;&gt;"", HYPERLINK(VLOOKUP(D238, DATA!H:K, 4, FALSE), D238), "")</f>
        <v/>
      </c>
      <c r="D238" s="33"/>
      <c r="E238" s="30"/>
      <c r="F238" s="27"/>
      <c r="G238" s="38"/>
      <c r="H238" s="30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1"/>
    </row>
    <row r="239" ht="26.25" customHeight="1">
      <c r="A239" s="13"/>
      <c r="B239" s="30"/>
      <c r="C239" s="32" t="str">
        <f>IF(D239&lt;&gt;"", HYPERLINK(VLOOKUP(D239, DATA!H:K, 4, FALSE), D239), "")</f>
        <v/>
      </c>
      <c r="D239" s="33"/>
      <c r="E239" s="30"/>
      <c r="F239" s="27"/>
      <c r="G239" s="38"/>
      <c r="H239" s="30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1"/>
    </row>
    <row r="240" ht="26.25" customHeight="1">
      <c r="A240" s="13"/>
      <c r="B240" s="30"/>
      <c r="C240" s="32" t="str">
        <f>IF(D240&lt;&gt;"", HYPERLINK(VLOOKUP(D240, DATA!H:K, 4, FALSE), D240), "")</f>
        <v/>
      </c>
      <c r="D240" s="33"/>
      <c r="E240" s="30"/>
      <c r="F240" s="27"/>
      <c r="G240" s="38"/>
      <c r="H240" s="30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1"/>
    </row>
    <row r="241" ht="26.25" customHeight="1">
      <c r="A241" s="13"/>
      <c r="B241" s="35"/>
      <c r="C241" s="32" t="str">
        <f>IF(D241&lt;&gt;"", HYPERLINK(VLOOKUP(D241, DATA!H:K, 4, FALSE), D241), "")</f>
        <v/>
      </c>
      <c r="D241" s="33"/>
      <c r="E241" s="30"/>
      <c r="F241" s="27"/>
      <c r="G241" s="38"/>
      <c r="H241" s="30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1"/>
    </row>
    <row r="242" ht="26.25" customHeight="1">
      <c r="A242" s="13"/>
      <c r="B242" s="36"/>
      <c r="C242" s="32" t="str">
        <f>IF(D242&lt;&gt;"", HYPERLINK(VLOOKUP(D242, DATA!H:K, 4, FALSE), D242), "")</f>
        <v/>
      </c>
      <c r="D242" s="33"/>
      <c r="E242" s="30"/>
      <c r="F242" s="27"/>
      <c r="G242" s="38"/>
      <c r="H242" s="30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1"/>
    </row>
    <row r="243" ht="26.25" customHeight="1">
      <c r="A243" s="13"/>
      <c r="B243" s="31"/>
      <c r="C243" s="32" t="str">
        <f>IF(D243&lt;&gt;"", HYPERLINK(VLOOKUP(D243, DATA!H:K, 4, FALSE), D243), "")</f>
        <v/>
      </c>
      <c r="D243" s="33"/>
      <c r="E243" s="30"/>
      <c r="F243" s="27"/>
      <c r="G243" s="38"/>
      <c r="H243" s="30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28"/>
      <c r="T243" s="31"/>
    </row>
    <row r="244" ht="11.25" customHeight="1">
      <c r="A244" s="13"/>
      <c r="B244" s="37"/>
    </row>
    <row r="245" ht="11.25" customHeight="1">
      <c r="A245" s="13"/>
      <c r="B245" s="39"/>
      <c r="U245" s="16"/>
    </row>
    <row r="246" ht="18.75" customHeight="1">
      <c r="A246" s="13"/>
      <c r="B246" s="15" t="s">
        <v>29</v>
      </c>
      <c r="U246" s="16"/>
    </row>
    <row r="247" ht="30.0" customHeight="1">
      <c r="A247" s="13"/>
      <c r="B247" s="17"/>
      <c r="C247" s="18" t="b">
        <v>0</v>
      </c>
      <c r="D247" s="18"/>
      <c r="E247" s="19" t="str">
        <f>IFS(C247=FALSE, "⬅️ Check when DONE", C247=TRUE, "☑️ Workout Completed", TRUE, "")</f>
        <v>⬅️ Check when DONE</v>
      </c>
      <c r="H247" s="19"/>
      <c r="I247" s="20">
        <v>1.0</v>
      </c>
      <c r="J247" s="20">
        <v>2.0</v>
      </c>
      <c r="K247" s="20">
        <v>3.0</v>
      </c>
      <c r="L247" s="20">
        <v>4.0</v>
      </c>
      <c r="M247" s="20">
        <v>5.0</v>
      </c>
      <c r="N247" s="20">
        <v>6.0</v>
      </c>
      <c r="O247" s="20">
        <v>7.0</v>
      </c>
      <c r="P247" s="20">
        <v>8.0</v>
      </c>
      <c r="Q247" s="20">
        <v>9.0</v>
      </c>
      <c r="R247" s="20">
        <v>10.0</v>
      </c>
      <c r="S247" s="20"/>
      <c r="T247" s="22"/>
      <c r="U247" s="23"/>
    </row>
    <row r="248" ht="26.25" customHeight="1">
      <c r="A248" s="13"/>
      <c r="B248" s="30"/>
      <c r="C248" s="32" t="str">
        <f>IF(D248&lt;&gt;"", HYPERLINK(VLOOKUP(D248, DATA!H:K, 4, FALSE), D248), "")</f>
        <v/>
      </c>
      <c r="D248" s="33"/>
      <c r="E248" s="30"/>
      <c r="F248" s="27"/>
      <c r="G248" s="38"/>
      <c r="H248" s="30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1"/>
    </row>
    <row r="249" ht="26.25" customHeight="1">
      <c r="A249" s="13"/>
      <c r="B249" s="30"/>
      <c r="C249" s="32" t="str">
        <f>IF(D249&lt;&gt;"", HYPERLINK(VLOOKUP(D249, DATA!H:K, 4, FALSE), D249), "")</f>
        <v/>
      </c>
      <c r="D249" s="33"/>
      <c r="E249" s="30"/>
      <c r="F249" s="27"/>
      <c r="G249" s="38"/>
      <c r="H249" s="30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1"/>
    </row>
    <row r="250" ht="26.25" customHeight="1">
      <c r="A250" s="13"/>
      <c r="B250" s="30"/>
      <c r="C250" s="32" t="str">
        <f>IF(D250&lt;&gt;"", HYPERLINK(VLOOKUP(D250, DATA!H:K, 4, FALSE), D250), "")</f>
        <v/>
      </c>
      <c r="D250" s="33"/>
      <c r="E250" s="30"/>
      <c r="F250" s="27"/>
      <c r="G250" s="38"/>
      <c r="H250" s="30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1"/>
    </row>
    <row r="251" ht="26.25" customHeight="1">
      <c r="A251" s="13"/>
      <c r="B251" s="30"/>
      <c r="C251" s="32" t="str">
        <f>IF(D251&lt;&gt;"", HYPERLINK(VLOOKUP(D251, DATA!H:K, 4, FALSE), D251), "")</f>
        <v/>
      </c>
      <c r="D251" s="33"/>
      <c r="E251" s="30"/>
      <c r="F251" s="27"/>
      <c r="G251" s="38"/>
      <c r="H251" s="30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1"/>
    </row>
    <row r="252" ht="26.25" customHeight="1">
      <c r="A252" s="13"/>
      <c r="B252" s="30"/>
      <c r="C252" s="32" t="str">
        <f>IF(D252&lt;&gt;"", HYPERLINK(VLOOKUP(D252, DATA!H:K, 4, FALSE), D252), "")</f>
        <v/>
      </c>
      <c r="D252" s="33"/>
      <c r="E252" s="30"/>
      <c r="F252" s="27"/>
      <c r="G252" s="38"/>
      <c r="H252" s="30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1"/>
    </row>
    <row r="253" ht="26.25" customHeight="1">
      <c r="A253" s="13"/>
      <c r="B253" s="35"/>
      <c r="C253" s="32" t="str">
        <f>IF(D253&lt;&gt;"", HYPERLINK(VLOOKUP(D253, DATA!H:K, 4, FALSE), D253), "")</f>
        <v/>
      </c>
      <c r="D253" s="33"/>
      <c r="E253" s="30"/>
      <c r="F253" s="27"/>
      <c r="G253" s="38"/>
      <c r="H253" s="30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1"/>
    </row>
    <row r="254" ht="26.25" customHeight="1">
      <c r="A254" s="13"/>
      <c r="B254" s="36"/>
      <c r="C254" s="32" t="str">
        <f>IF(D254&lt;&gt;"", HYPERLINK(VLOOKUP(D254, DATA!H:K, 4, FALSE), D254), "")</f>
        <v/>
      </c>
      <c r="D254" s="33"/>
      <c r="E254" s="30"/>
      <c r="F254" s="27"/>
      <c r="G254" s="38"/>
      <c r="H254" s="30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1"/>
    </row>
    <row r="255" ht="26.25" customHeight="1">
      <c r="A255" s="13"/>
      <c r="B255" s="31"/>
      <c r="C255" s="32" t="str">
        <f>IF(D255&lt;&gt;"", HYPERLINK(VLOOKUP(D255, DATA!H:K, 4, FALSE), D255), "")</f>
        <v/>
      </c>
      <c r="D255" s="33"/>
      <c r="E255" s="30"/>
      <c r="F255" s="27"/>
      <c r="G255" s="38"/>
      <c r="H255" s="30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28"/>
      <c r="T255" s="31"/>
    </row>
    <row r="256" ht="11.25" customHeight="1">
      <c r="A256" s="13"/>
      <c r="B256" s="37"/>
    </row>
    <row r="257" ht="11.25" customHeight="1">
      <c r="A257" s="13"/>
      <c r="B257" s="39"/>
      <c r="U257" s="16"/>
    </row>
    <row r="258" ht="18.75" customHeight="1">
      <c r="A258" s="13"/>
      <c r="B258" s="15" t="s">
        <v>32</v>
      </c>
      <c r="U258" s="16"/>
    </row>
    <row r="259" ht="30.0" customHeight="1">
      <c r="A259" s="13"/>
      <c r="B259" s="17"/>
      <c r="C259" s="18" t="b">
        <v>0</v>
      </c>
      <c r="D259" s="18"/>
      <c r="E259" s="19" t="str">
        <f>IFS(C259=FALSE, "⬅️ Check when DONE", C259=TRUE, "☑️ Workout Completed", TRUE, "")</f>
        <v>⬅️ Check when DONE</v>
      </c>
      <c r="H259" s="19"/>
      <c r="I259" s="20">
        <v>1.0</v>
      </c>
      <c r="J259" s="20">
        <v>2.0</v>
      </c>
      <c r="K259" s="20">
        <v>3.0</v>
      </c>
      <c r="L259" s="20">
        <v>4.0</v>
      </c>
      <c r="M259" s="20">
        <v>5.0</v>
      </c>
      <c r="N259" s="20">
        <v>6.0</v>
      </c>
      <c r="O259" s="20">
        <v>7.0</v>
      </c>
      <c r="P259" s="20">
        <v>8.0</v>
      </c>
      <c r="Q259" s="20">
        <v>9.0</v>
      </c>
      <c r="R259" s="20">
        <v>10.0</v>
      </c>
      <c r="S259" s="20"/>
      <c r="T259" s="22"/>
      <c r="U259" s="23"/>
    </row>
    <row r="260" ht="26.25" customHeight="1">
      <c r="A260" s="13"/>
      <c r="B260" s="30"/>
      <c r="C260" s="32" t="str">
        <f>IF(D260&lt;&gt;"", HYPERLINK(VLOOKUP(D260, DATA!H:K, 4, FALSE), D260), "")</f>
        <v/>
      </c>
      <c r="D260" s="33"/>
      <c r="E260" s="30"/>
      <c r="F260" s="27"/>
      <c r="G260" s="38"/>
      <c r="H260" s="30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1"/>
    </row>
    <row r="261" ht="26.25" customHeight="1">
      <c r="A261" s="13"/>
      <c r="B261" s="30"/>
      <c r="C261" s="32" t="str">
        <f>IF(D261&lt;&gt;"", HYPERLINK(VLOOKUP(D261, DATA!H:K, 4, FALSE), D261), "")</f>
        <v/>
      </c>
      <c r="D261" s="33"/>
      <c r="E261" s="30"/>
      <c r="F261" s="27"/>
      <c r="G261" s="38"/>
      <c r="H261" s="30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1"/>
    </row>
    <row r="262" ht="26.25" customHeight="1">
      <c r="A262" s="13"/>
      <c r="B262" s="30"/>
      <c r="C262" s="32" t="str">
        <f>IF(D262&lt;&gt;"", HYPERLINK(VLOOKUP(D262, DATA!H:K, 4, FALSE), D262), "")</f>
        <v/>
      </c>
      <c r="D262" s="33"/>
      <c r="E262" s="30"/>
      <c r="F262" s="27"/>
      <c r="G262" s="38"/>
      <c r="H262" s="30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1"/>
    </row>
    <row r="263" ht="26.25" customHeight="1">
      <c r="A263" s="13"/>
      <c r="B263" s="30"/>
      <c r="C263" s="32" t="str">
        <f>IF(D263&lt;&gt;"", HYPERLINK(VLOOKUP(D263, DATA!H:K, 4, FALSE), D263), "")</f>
        <v/>
      </c>
      <c r="D263" s="33"/>
      <c r="E263" s="30"/>
      <c r="F263" s="27"/>
      <c r="G263" s="38"/>
      <c r="H263" s="30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1"/>
    </row>
    <row r="264" ht="26.25" customHeight="1">
      <c r="A264" s="13"/>
      <c r="B264" s="30"/>
      <c r="C264" s="32" t="str">
        <f>IF(D264&lt;&gt;"", HYPERLINK(VLOOKUP(D264, DATA!H:K, 4, FALSE), D264), "")</f>
        <v/>
      </c>
      <c r="D264" s="33"/>
      <c r="E264" s="30"/>
      <c r="F264" s="27"/>
      <c r="G264" s="38"/>
      <c r="H264" s="30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1"/>
    </row>
    <row r="265" ht="26.25" customHeight="1">
      <c r="A265" s="13"/>
      <c r="B265" s="35"/>
      <c r="C265" s="32" t="str">
        <f>IF(D265&lt;&gt;"", HYPERLINK(VLOOKUP(D265, DATA!H:K, 4, FALSE), D265), "")</f>
        <v/>
      </c>
      <c r="D265" s="33"/>
      <c r="E265" s="30"/>
      <c r="F265" s="27"/>
      <c r="G265" s="38"/>
      <c r="H265" s="30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1"/>
    </row>
    <row r="266" ht="26.25" customHeight="1">
      <c r="A266" s="13"/>
      <c r="B266" s="36"/>
      <c r="C266" s="32" t="str">
        <f>IF(D266&lt;&gt;"", HYPERLINK(VLOOKUP(D266, DATA!H:K, 4, FALSE), D266), "")</f>
        <v/>
      </c>
      <c r="D266" s="33"/>
      <c r="E266" s="30"/>
      <c r="F266" s="27"/>
      <c r="G266" s="38"/>
      <c r="H266" s="30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1"/>
    </row>
    <row r="267" ht="26.25" customHeight="1">
      <c r="A267" s="13"/>
      <c r="B267" s="31"/>
      <c r="C267" s="32" t="str">
        <f>IF(D267&lt;&gt;"", HYPERLINK(VLOOKUP(D267, DATA!H:K, 4, FALSE), D267), "")</f>
        <v/>
      </c>
      <c r="D267" s="33"/>
      <c r="E267" s="30"/>
      <c r="F267" s="27"/>
      <c r="G267" s="38"/>
      <c r="H267" s="30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28"/>
      <c r="T267" s="31"/>
    </row>
    <row r="268" ht="11.25" customHeight="1">
      <c r="A268" s="13"/>
      <c r="B268" s="37"/>
    </row>
    <row r="269" ht="11.25" customHeight="1">
      <c r="A269" s="13"/>
      <c r="B269" s="39"/>
      <c r="U269" s="16"/>
    </row>
    <row r="270" ht="18.75" customHeight="1">
      <c r="A270" s="13"/>
      <c r="B270" s="15" t="s">
        <v>33</v>
      </c>
      <c r="U270" s="16"/>
    </row>
    <row r="271" ht="30.0" customHeight="1">
      <c r="A271" s="13"/>
      <c r="B271" s="17"/>
      <c r="C271" s="18" t="b">
        <v>0</v>
      </c>
      <c r="D271" s="18"/>
      <c r="E271" s="19" t="str">
        <f>IFS(C271=FALSE, "⬅️ Check when DONE", C271=TRUE, "☑️ Workout Completed", TRUE, "")</f>
        <v>⬅️ Check when DONE</v>
      </c>
      <c r="H271" s="19"/>
      <c r="I271" s="20">
        <v>1.0</v>
      </c>
      <c r="J271" s="20">
        <v>2.0</v>
      </c>
      <c r="K271" s="20">
        <v>3.0</v>
      </c>
      <c r="L271" s="20">
        <v>4.0</v>
      </c>
      <c r="M271" s="20">
        <v>5.0</v>
      </c>
      <c r="N271" s="20">
        <v>6.0</v>
      </c>
      <c r="O271" s="20">
        <v>7.0</v>
      </c>
      <c r="P271" s="20">
        <v>8.0</v>
      </c>
      <c r="Q271" s="20">
        <v>9.0</v>
      </c>
      <c r="R271" s="20">
        <v>10.0</v>
      </c>
      <c r="S271" s="20"/>
      <c r="T271" s="22"/>
      <c r="U271" s="23"/>
    </row>
    <row r="272" ht="26.25" customHeight="1">
      <c r="A272" s="13"/>
      <c r="B272" s="30"/>
      <c r="C272" s="32" t="str">
        <f>IF(D272&lt;&gt;"", HYPERLINK(VLOOKUP(D272, DATA!H:K, 4, FALSE), D272), "")</f>
        <v/>
      </c>
      <c r="D272" s="33"/>
      <c r="E272" s="30"/>
      <c r="F272" s="27"/>
      <c r="G272" s="38"/>
      <c r="H272" s="30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1"/>
    </row>
    <row r="273" ht="26.25" customHeight="1">
      <c r="A273" s="13"/>
      <c r="B273" s="30"/>
      <c r="C273" s="32" t="str">
        <f>IF(D273&lt;&gt;"", HYPERLINK(VLOOKUP(D273, DATA!H:K, 4, FALSE), D273), "")</f>
        <v/>
      </c>
      <c r="D273" s="33"/>
      <c r="E273" s="30"/>
      <c r="F273" s="27"/>
      <c r="G273" s="38"/>
      <c r="H273" s="30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1"/>
    </row>
    <row r="274" ht="26.25" customHeight="1">
      <c r="A274" s="13"/>
      <c r="B274" s="30"/>
      <c r="C274" s="32" t="str">
        <f>IF(D274&lt;&gt;"", HYPERLINK(VLOOKUP(D274, DATA!H:K, 4, FALSE), D274), "")</f>
        <v/>
      </c>
      <c r="D274" s="33"/>
      <c r="E274" s="30"/>
      <c r="F274" s="27"/>
      <c r="G274" s="38"/>
      <c r="H274" s="30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1"/>
    </row>
    <row r="275" ht="26.25" customHeight="1">
      <c r="A275" s="13"/>
      <c r="B275" s="30"/>
      <c r="C275" s="32" t="str">
        <f>IF(D275&lt;&gt;"", HYPERLINK(VLOOKUP(D275, DATA!H:K, 4, FALSE), D275), "")</f>
        <v/>
      </c>
      <c r="D275" s="33"/>
      <c r="E275" s="30"/>
      <c r="F275" s="27"/>
      <c r="G275" s="38"/>
      <c r="H275" s="30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1"/>
    </row>
    <row r="276" ht="26.25" customHeight="1">
      <c r="A276" s="13"/>
      <c r="B276" s="30"/>
      <c r="C276" s="32" t="str">
        <f>IF(D276&lt;&gt;"", HYPERLINK(VLOOKUP(D276, DATA!H:K, 4, FALSE), D276), "")</f>
        <v/>
      </c>
      <c r="D276" s="33"/>
      <c r="E276" s="30"/>
      <c r="F276" s="27"/>
      <c r="G276" s="38"/>
      <c r="H276" s="30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1"/>
    </row>
    <row r="277" ht="26.25" customHeight="1">
      <c r="A277" s="13"/>
      <c r="B277" s="35"/>
      <c r="C277" s="32" t="str">
        <f>IF(D277&lt;&gt;"", HYPERLINK(VLOOKUP(D277, DATA!H:K, 4, FALSE), D277), "")</f>
        <v/>
      </c>
      <c r="D277" s="33"/>
      <c r="E277" s="30"/>
      <c r="F277" s="27"/>
      <c r="G277" s="38"/>
      <c r="H277" s="30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1"/>
    </row>
    <row r="278" ht="26.25" customHeight="1">
      <c r="A278" s="13"/>
      <c r="B278" s="36"/>
      <c r="C278" s="32" t="str">
        <f>IF(D278&lt;&gt;"", HYPERLINK(VLOOKUP(D278, DATA!H:K, 4, FALSE), D278), "")</f>
        <v/>
      </c>
      <c r="D278" s="33"/>
      <c r="E278" s="30"/>
      <c r="F278" s="27"/>
      <c r="G278" s="38"/>
      <c r="H278" s="30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1"/>
    </row>
    <row r="279" ht="26.25" customHeight="1">
      <c r="A279" s="13"/>
      <c r="B279" s="31"/>
      <c r="C279" s="32" t="str">
        <f>IF(D279&lt;&gt;"", HYPERLINK(VLOOKUP(D279, DATA!H:K, 4, FALSE), D279), "")</f>
        <v/>
      </c>
      <c r="D279" s="33"/>
      <c r="E279" s="30"/>
      <c r="F279" s="27"/>
      <c r="G279" s="38"/>
      <c r="H279" s="30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28"/>
      <c r="T279" s="31"/>
    </row>
    <row r="280" ht="11.25" customHeight="1">
      <c r="A280" s="13"/>
      <c r="B280" s="37"/>
    </row>
    <row r="281" ht="11.25" customHeight="1">
      <c r="A281" s="13"/>
      <c r="B281" s="39"/>
      <c r="U281" s="16"/>
    </row>
    <row r="282" ht="18.75" customHeight="1">
      <c r="A282" s="13"/>
      <c r="B282" s="15" t="s">
        <v>35</v>
      </c>
      <c r="U282" s="16"/>
    </row>
    <row r="283" ht="30.0" customHeight="1">
      <c r="A283" s="13"/>
      <c r="B283" s="17"/>
      <c r="C283" s="18" t="b">
        <v>0</v>
      </c>
      <c r="D283" s="18"/>
      <c r="E283" s="19" t="str">
        <f>IFS(C283=FALSE, "⬅️ Check when DONE", C283=TRUE, "☑️ Workout Completed", TRUE, "")</f>
        <v>⬅️ Check when DONE</v>
      </c>
      <c r="H283" s="19"/>
      <c r="I283" s="20">
        <v>1.0</v>
      </c>
      <c r="J283" s="20">
        <v>2.0</v>
      </c>
      <c r="K283" s="20">
        <v>3.0</v>
      </c>
      <c r="L283" s="20">
        <v>4.0</v>
      </c>
      <c r="M283" s="20">
        <v>5.0</v>
      </c>
      <c r="N283" s="20">
        <v>6.0</v>
      </c>
      <c r="O283" s="20">
        <v>7.0</v>
      </c>
      <c r="P283" s="20">
        <v>8.0</v>
      </c>
      <c r="Q283" s="20">
        <v>9.0</v>
      </c>
      <c r="R283" s="20">
        <v>10.0</v>
      </c>
      <c r="S283" s="20"/>
      <c r="T283" s="22"/>
      <c r="U283" s="23"/>
    </row>
    <row r="284" ht="26.25" customHeight="1">
      <c r="A284" s="13"/>
      <c r="B284" s="30"/>
      <c r="C284" s="32" t="str">
        <f>IF(D284&lt;&gt;"", HYPERLINK(VLOOKUP(D284, DATA!H:K, 4, FALSE), D284), "")</f>
        <v/>
      </c>
      <c r="D284" s="33"/>
      <c r="E284" s="30"/>
      <c r="F284" s="27"/>
      <c r="G284" s="38"/>
      <c r="H284" s="30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1"/>
    </row>
    <row r="285" ht="26.25" customHeight="1">
      <c r="A285" s="13"/>
      <c r="B285" s="30"/>
      <c r="C285" s="32" t="str">
        <f>IF(D285&lt;&gt;"", HYPERLINK(VLOOKUP(D285, DATA!H:K, 4, FALSE), D285), "")</f>
        <v/>
      </c>
      <c r="D285" s="33"/>
      <c r="E285" s="30"/>
      <c r="F285" s="27"/>
      <c r="G285" s="38"/>
      <c r="H285" s="30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1"/>
    </row>
    <row r="286" ht="26.25" customHeight="1">
      <c r="A286" s="13"/>
      <c r="B286" s="30"/>
      <c r="C286" s="32" t="str">
        <f>IF(D286&lt;&gt;"", HYPERLINK(VLOOKUP(D286, DATA!H:K, 4, FALSE), D286), "")</f>
        <v/>
      </c>
      <c r="D286" s="33"/>
      <c r="E286" s="30"/>
      <c r="F286" s="27"/>
      <c r="G286" s="38"/>
      <c r="H286" s="30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1"/>
    </row>
    <row r="287" ht="26.25" customHeight="1">
      <c r="A287" s="13"/>
      <c r="B287" s="30"/>
      <c r="C287" s="32" t="str">
        <f>IF(D287&lt;&gt;"", HYPERLINK(VLOOKUP(D287, DATA!H:K, 4, FALSE), D287), "")</f>
        <v/>
      </c>
      <c r="D287" s="33"/>
      <c r="E287" s="30"/>
      <c r="F287" s="27"/>
      <c r="G287" s="38"/>
      <c r="H287" s="30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1"/>
    </row>
    <row r="288" ht="26.25" customHeight="1">
      <c r="A288" s="13"/>
      <c r="B288" s="30"/>
      <c r="C288" s="32" t="str">
        <f>IF(D288&lt;&gt;"", HYPERLINK(VLOOKUP(D288, DATA!H:K, 4, FALSE), D288), "")</f>
        <v/>
      </c>
      <c r="D288" s="33"/>
      <c r="E288" s="30"/>
      <c r="F288" s="27"/>
      <c r="G288" s="38"/>
      <c r="H288" s="30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1"/>
    </row>
    <row r="289" ht="26.25" customHeight="1">
      <c r="A289" s="13"/>
      <c r="B289" s="35"/>
      <c r="C289" s="32" t="str">
        <f>IF(D289&lt;&gt;"", HYPERLINK(VLOOKUP(D289, DATA!H:K, 4, FALSE), D289), "")</f>
        <v/>
      </c>
      <c r="D289" s="33"/>
      <c r="E289" s="30"/>
      <c r="F289" s="27"/>
      <c r="G289" s="38"/>
      <c r="H289" s="30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1"/>
    </row>
    <row r="290" ht="26.25" customHeight="1">
      <c r="A290" s="13"/>
      <c r="B290" s="36"/>
      <c r="C290" s="32" t="str">
        <f>IF(D290&lt;&gt;"", HYPERLINK(VLOOKUP(D290, DATA!H:K, 4, FALSE), D290), "")</f>
        <v/>
      </c>
      <c r="D290" s="33"/>
      <c r="E290" s="30"/>
      <c r="F290" s="27"/>
      <c r="G290" s="38"/>
      <c r="H290" s="30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1"/>
    </row>
    <row r="291" ht="26.25" customHeight="1">
      <c r="A291" s="13"/>
      <c r="B291" s="31"/>
      <c r="C291" s="32" t="str">
        <f>IF(D291&lt;&gt;"", HYPERLINK(VLOOKUP(D291, DATA!H:K, 4, FALSE), D291), "")</f>
        <v/>
      </c>
      <c r="D291" s="33"/>
      <c r="E291" s="30"/>
      <c r="F291" s="27"/>
      <c r="G291" s="38"/>
      <c r="H291" s="30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28"/>
      <c r="T291" s="31"/>
    </row>
    <row r="292" ht="11.25" customHeight="1">
      <c r="A292" s="13"/>
      <c r="B292" s="37"/>
    </row>
    <row r="293" ht="45.0" customHeight="1">
      <c r="A293" s="13"/>
      <c r="B293" s="14" t="s">
        <v>7</v>
      </c>
      <c r="U293" s="13"/>
    </row>
    <row r="294" ht="18.75" customHeight="1">
      <c r="A294" s="13"/>
      <c r="B294" s="15" t="s">
        <v>16</v>
      </c>
      <c r="U294" s="16"/>
    </row>
    <row r="295" ht="30.0" customHeight="1">
      <c r="A295" s="13"/>
      <c r="B295" s="17"/>
      <c r="C295" s="18" t="b">
        <v>0</v>
      </c>
      <c r="D295" s="18"/>
      <c r="E295" s="19" t="str">
        <f>IFS(C295=FALSE, "⬅️ Check when DONE", C295=TRUE, "☑️ Workout Completed", TRUE, "")</f>
        <v>⬅️ Check when DONE</v>
      </c>
      <c r="H295" s="19"/>
      <c r="I295" s="20">
        <v>1.0</v>
      </c>
      <c r="J295" s="20">
        <v>2.0</v>
      </c>
      <c r="K295" s="20">
        <v>3.0</v>
      </c>
      <c r="L295" s="20">
        <v>4.0</v>
      </c>
      <c r="M295" s="20">
        <v>5.0</v>
      </c>
      <c r="N295" s="20">
        <v>6.0</v>
      </c>
      <c r="O295" s="20">
        <v>7.0</v>
      </c>
      <c r="P295" s="20">
        <v>8.0</v>
      </c>
      <c r="Q295" s="20">
        <v>9.0</v>
      </c>
      <c r="R295" s="20">
        <v>10.0</v>
      </c>
      <c r="S295" s="20"/>
      <c r="T295" s="22"/>
      <c r="U295" s="23"/>
    </row>
    <row r="296" ht="26.25" customHeight="1">
      <c r="A296" s="13"/>
      <c r="B296" s="30"/>
      <c r="C296" s="32" t="str">
        <f>IF(D296&lt;&gt;"", HYPERLINK(VLOOKUP(D296, DATA!H:K, 4, FALSE), D296), "")</f>
        <v/>
      </c>
      <c r="D296" s="33"/>
      <c r="E296" s="30"/>
      <c r="F296" s="27"/>
      <c r="G296" s="38"/>
      <c r="H296" s="30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1"/>
    </row>
    <row r="297" ht="26.25" customHeight="1">
      <c r="A297" s="13"/>
      <c r="B297" s="30"/>
      <c r="C297" s="32" t="str">
        <f>IF(D297&lt;&gt;"", HYPERLINK(VLOOKUP(D297, DATA!H:K, 4, FALSE), D297), "")</f>
        <v/>
      </c>
      <c r="D297" s="33"/>
      <c r="E297" s="30"/>
      <c r="F297" s="27"/>
      <c r="G297" s="38"/>
      <c r="H297" s="30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1"/>
    </row>
    <row r="298" ht="26.25" customHeight="1">
      <c r="A298" s="13"/>
      <c r="B298" s="30"/>
      <c r="C298" s="32" t="str">
        <f>IF(D298&lt;&gt;"", HYPERLINK(VLOOKUP(D298, DATA!H:K, 4, FALSE), D298), "")</f>
        <v/>
      </c>
      <c r="D298" s="33"/>
      <c r="E298" s="30"/>
      <c r="F298" s="27"/>
      <c r="G298" s="38"/>
      <c r="H298" s="30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1"/>
    </row>
    <row r="299" ht="26.25" customHeight="1">
      <c r="A299" s="13"/>
      <c r="B299" s="30"/>
      <c r="C299" s="32" t="str">
        <f>IF(D299&lt;&gt;"", HYPERLINK(VLOOKUP(D299, DATA!H:K, 4, FALSE), D299), "")</f>
        <v/>
      </c>
      <c r="D299" s="33"/>
      <c r="E299" s="30"/>
      <c r="F299" s="27"/>
      <c r="G299" s="38"/>
      <c r="H299" s="30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1"/>
    </row>
    <row r="300" ht="26.25" customHeight="1">
      <c r="A300" s="13"/>
      <c r="B300" s="30"/>
      <c r="C300" s="32" t="str">
        <f>IF(D300&lt;&gt;"", HYPERLINK(VLOOKUP(D300, DATA!H:K, 4, FALSE), D300), "")</f>
        <v/>
      </c>
      <c r="D300" s="33"/>
      <c r="E300" s="30"/>
      <c r="F300" s="27"/>
      <c r="G300" s="38"/>
      <c r="H300" s="30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1"/>
    </row>
    <row r="301" ht="26.25" customHeight="1">
      <c r="A301" s="13"/>
      <c r="B301" s="35"/>
      <c r="C301" s="32" t="str">
        <f>IF(D301&lt;&gt;"", HYPERLINK(VLOOKUP(D301, DATA!H:K, 4, FALSE), D301), "")</f>
        <v/>
      </c>
      <c r="D301" s="33"/>
      <c r="E301" s="30"/>
      <c r="F301" s="27"/>
      <c r="G301" s="38"/>
      <c r="H301" s="30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1"/>
    </row>
    <row r="302" ht="26.25" customHeight="1">
      <c r="A302" s="13"/>
      <c r="B302" s="36"/>
      <c r="C302" s="32" t="str">
        <f>IF(D302&lt;&gt;"", HYPERLINK(VLOOKUP(D302, DATA!H:K, 4, FALSE), D302), "")</f>
        <v/>
      </c>
      <c r="D302" s="33"/>
      <c r="E302" s="30"/>
      <c r="F302" s="27"/>
      <c r="G302" s="38"/>
      <c r="H302" s="30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1"/>
    </row>
    <row r="303" ht="26.25" customHeight="1">
      <c r="A303" s="13"/>
      <c r="B303" s="31"/>
      <c r="C303" s="32" t="str">
        <f>IF(D303&lt;&gt;"", HYPERLINK(VLOOKUP(D303, DATA!H:K, 4, FALSE), D303), "")</f>
        <v/>
      </c>
      <c r="D303" s="33"/>
      <c r="E303" s="30"/>
      <c r="F303" s="27"/>
      <c r="G303" s="38"/>
      <c r="H303" s="30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28"/>
      <c r="T303" s="31"/>
    </row>
    <row r="304" ht="11.25" customHeight="1">
      <c r="A304" s="13"/>
      <c r="B304" s="37"/>
    </row>
    <row r="305" ht="11.25" customHeight="1">
      <c r="A305" s="13"/>
      <c r="B305" s="39"/>
      <c r="U305" s="16"/>
    </row>
    <row r="306" ht="18.75" customHeight="1">
      <c r="A306" s="13"/>
      <c r="B306" s="15" t="s">
        <v>24</v>
      </c>
      <c r="U306" s="16"/>
    </row>
    <row r="307" ht="30.0" customHeight="1">
      <c r="A307" s="13"/>
      <c r="B307" s="17"/>
      <c r="C307" s="18" t="b">
        <v>0</v>
      </c>
      <c r="D307" s="18"/>
      <c r="E307" s="19" t="str">
        <f>IFS(C307=FALSE, "⬅️ Check when DONE", C307=TRUE, "☑️ Workout Completed", TRUE, "")</f>
        <v>⬅️ Check when DONE</v>
      </c>
      <c r="H307" s="19"/>
      <c r="I307" s="20">
        <v>1.0</v>
      </c>
      <c r="J307" s="20">
        <v>2.0</v>
      </c>
      <c r="K307" s="20">
        <v>3.0</v>
      </c>
      <c r="L307" s="20">
        <v>4.0</v>
      </c>
      <c r="M307" s="20">
        <v>5.0</v>
      </c>
      <c r="N307" s="20">
        <v>6.0</v>
      </c>
      <c r="O307" s="20">
        <v>7.0</v>
      </c>
      <c r="P307" s="20">
        <v>8.0</v>
      </c>
      <c r="Q307" s="20">
        <v>9.0</v>
      </c>
      <c r="R307" s="20">
        <v>10.0</v>
      </c>
      <c r="S307" s="20"/>
      <c r="T307" s="22"/>
      <c r="U307" s="23"/>
    </row>
    <row r="308" ht="26.25" customHeight="1">
      <c r="A308" s="13"/>
      <c r="B308" s="30"/>
      <c r="C308" s="32" t="str">
        <f>IF(D308&lt;&gt;"", HYPERLINK(VLOOKUP(D308, DATA!H:K, 4, FALSE), D308), "")</f>
        <v/>
      </c>
      <c r="D308" s="33"/>
      <c r="E308" s="30"/>
      <c r="F308" s="27"/>
      <c r="G308" s="38"/>
      <c r="H308" s="30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1"/>
    </row>
    <row r="309" ht="26.25" customHeight="1">
      <c r="A309" s="13"/>
      <c r="B309" s="30"/>
      <c r="C309" s="32" t="str">
        <f>IF(D309&lt;&gt;"", HYPERLINK(VLOOKUP(D309, DATA!H:K, 4, FALSE), D309), "")</f>
        <v/>
      </c>
      <c r="D309" s="33"/>
      <c r="E309" s="30"/>
      <c r="F309" s="27"/>
      <c r="G309" s="38"/>
      <c r="H309" s="30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1"/>
    </row>
    <row r="310" ht="26.25" customHeight="1">
      <c r="A310" s="13"/>
      <c r="B310" s="30"/>
      <c r="C310" s="32" t="str">
        <f>IF(D310&lt;&gt;"", HYPERLINK(VLOOKUP(D310, DATA!H:K, 4, FALSE), D310), "")</f>
        <v/>
      </c>
      <c r="D310" s="33"/>
      <c r="E310" s="30"/>
      <c r="F310" s="27"/>
      <c r="G310" s="38"/>
      <c r="H310" s="30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1"/>
    </row>
    <row r="311" ht="26.25" customHeight="1">
      <c r="A311" s="13"/>
      <c r="B311" s="30"/>
      <c r="C311" s="32" t="str">
        <f>IF(D311&lt;&gt;"", HYPERLINK(VLOOKUP(D311, DATA!H:K, 4, FALSE), D311), "")</f>
        <v/>
      </c>
      <c r="D311" s="33"/>
      <c r="E311" s="30"/>
      <c r="F311" s="27"/>
      <c r="G311" s="38"/>
      <c r="H311" s="30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1"/>
    </row>
    <row r="312" ht="26.25" customHeight="1">
      <c r="A312" s="13"/>
      <c r="B312" s="30"/>
      <c r="C312" s="32" t="str">
        <f>IF(D312&lt;&gt;"", HYPERLINK(VLOOKUP(D312, DATA!H:K, 4, FALSE), D312), "")</f>
        <v/>
      </c>
      <c r="D312" s="33"/>
      <c r="E312" s="30"/>
      <c r="F312" s="27"/>
      <c r="G312" s="38"/>
      <c r="H312" s="30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1"/>
    </row>
    <row r="313" ht="26.25" customHeight="1">
      <c r="A313" s="13"/>
      <c r="B313" s="35"/>
      <c r="C313" s="32" t="str">
        <f>IF(D313&lt;&gt;"", HYPERLINK(VLOOKUP(D313, DATA!H:K, 4, FALSE), D313), "")</f>
        <v/>
      </c>
      <c r="D313" s="33"/>
      <c r="E313" s="30"/>
      <c r="F313" s="27"/>
      <c r="G313" s="38"/>
      <c r="H313" s="30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1"/>
    </row>
    <row r="314" ht="26.25" customHeight="1">
      <c r="A314" s="13"/>
      <c r="B314" s="36"/>
      <c r="C314" s="32" t="str">
        <f>IF(D314&lt;&gt;"", HYPERLINK(VLOOKUP(D314, DATA!H:K, 4, FALSE), D314), "")</f>
        <v/>
      </c>
      <c r="D314" s="33"/>
      <c r="E314" s="30"/>
      <c r="F314" s="27"/>
      <c r="G314" s="38"/>
      <c r="H314" s="30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1"/>
    </row>
    <row r="315" ht="26.25" customHeight="1">
      <c r="A315" s="13"/>
      <c r="B315" s="31"/>
      <c r="C315" s="32" t="str">
        <f>IF(D315&lt;&gt;"", HYPERLINK(VLOOKUP(D315, DATA!H:K, 4, FALSE), D315), "")</f>
        <v/>
      </c>
      <c r="D315" s="33"/>
      <c r="E315" s="30"/>
      <c r="F315" s="27"/>
      <c r="G315" s="38"/>
      <c r="H315" s="30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28"/>
      <c r="T315" s="31"/>
    </row>
    <row r="316" ht="11.25" customHeight="1">
      <c r="A316" s="13"/>
      <c r="B316" s="37"/>
    </row>
    <row r="317" ht="11.25" customHeight="1">
      <c r="A317" s="13"/>
      <c r="B317" s="39"/>
      <c r="U317" s="16"/>
    </row>
    <row r="318" ht="18.75" customHeight="1">
      <c r="A318" s="13"/>
      <c r="B318" s="15" t="s">
        <v>29</v>
      </c>
      <c r="U318" s="16"/>
    </row>
    <row r="319" ht="30.0" customHeight="1">
      <c r="A319" s="13"/>
      <c r="B319" s="17"/>
      <c r="C319" s="18" t="b">
        <v>0</v>
      </c>
      <c r="D319" s="18"/>
      <c r="E319" s="19" t="str">
        <f>IFS(C319=FALSE, "⬅️ Check when DONE", C319=TRUE, "☑️ Workout Completed", TRUE, "")</f>
        <v>⬅️ Check when DONE</v>
      </c>
      <c r="H319" s="19"/>
      <c r="I319" s="20">
        <v>1.0</v>
      </c>
      <c r="J319" s="20">
        <v>2.0</v>
      </c>
      <c r="K319" s="20">
        <v>3.0</v>
      </c>
      <c r="L319" s="20">
        <v>4.0</v>
      </c>
      <c r="M319" s="20">
        <v>5.0</v>
      </c>
      <c r="N319" s="20">
        <v>6.0</v>
      </c>
      <c r="O319" s="20">
        <v>7.0</v>
      </c>
      <c r="P319" s="20">
        <v>8.0</v>
      </c>
      <c r="Q319" s="20">
        <v>9.0</v>
      </c>
      <c r="R319" s="20">
        <v>10.0</v>
      </c>
      <c r="S319" s="20"/>
      <c r="T319" s="22"/>
      <c r="U319" s="23"/>
    </row>
    <row r="320" ht="26.25" customHeight="1">
      <c r="A320" s="13"/>
      <c r="B320" s="30"/>
      <c r="C320" s="32" t="str">
        <f>IF(D320&lt;&gt;"", HYPERLINK(VLOOKUP(D320, DATA!H:K, 4, FALSE), D320), "")</f>
        <v/>
      </c>
      <c r="D320" s="33"/>
      <c r="E320" s="30"/>
      <c r="F320" s="27"/>
      <c r="G320" s="38"/>
      <c r="H320" s="30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1"/>
    </row>
    <row r="321" ht="26.25" customHeight="1">
      <c r="A321" s="13"/>
      <c r="B321" s="30"/>
      <c r="C321" s="32" t="str">
        <f>IF(D321&lt;&gt;"", HYPERLINK(VLOOKUP(D321, DATA!H:K, 4, FALSE), D321), "")</f>
        <v/>
      </c>
      <c r="D321" s="33"/>
      <c r="E321" s="30"/>
      <c r="F321" s="27"/>
      <c r="G321" s="38"/>
      <c r="H321" s="30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1"/>
    </row>
    <row r="322" ht="26.25" customHeight="1">
      <c r="A322" s="13"/>
      <c r="B322" s="30"/>
      <c r="C322" s="32" t="str">
        <f>IF(D322&lt;&gt;"", HYPERLINK(VLOOKUP(D322, DATA!H:K, 4, FALSE), D322), "")</f>
        <v/>
      </c>
      <c r="D322" s="33"/>
      <c r="E322" s="30"/>
      <c r="F322" s="27"/>
      <c r="G322" s="38"/>
      <c r="H322" s="30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1"/>
    </row>
    <row r="323" ht="26.25" customHeight="1">
      <c r="A323" s="13"/>
      <c r="B323" s="30"/>
      <c r="C323" s="32" t="str">
        <f>IF(D323&lt;&gt;"", HYPERLINK(VLOOKUP(D323, DATA!H:K, 4, FALSE), D323), "")</f>
        <v/>
      </c>
      <c r="D323" s="33"/>
      <c r="E323" s="30"/>
      <c r="F323" s="27"/>
      <c r="G323" s="38"/>
      <c r="H323" s="30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1"/>
    </row>
    <row r="324" ht="26.25" customHeight="1">
      <c r="A324" s="13"/>
      <c r="B324" s="30"/>
      <c r="C324" s="32" t="str">
        <f>IF(D324&lt;&gt;"", HYPERLINK(VLOOKUP(D324, DATA!H:K, 4, FALSE), D324), "")</f>
        <v/>
      </c>
      <c r="D324" s="33"/>
      <c r="E324" s="30"/>
      <c r="F324" s="27"/>
      <c r="G324" s="38"/>
      <c r="H324" s="30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1"/>
    </row>
    <row r="325" ht="26.25" customHeight="1">
      <c r="A325" s="13"/>
      <c r="B325" s="35"/>
      <c r="C325" s="32" t="str">
        <f>IF(D325&lt;&gt;"", HYPERLINK(VLOOKUP(D325, DATA!H:K, 4, FALSE), D325), "")</f>
        <v/>
      </c>
      <c r="D325" s="33"/>
      <c r="E325" s="30"/>
      <c r="F325" s="27"/>
      <c r="G325" s="38"/>
      <c r="H325" s="30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1"/>
    </row>
    <row r="326" ht="26.25" customHeight="1">
      <c r="A326" s="13"/>
      <c r="B326" s="36"/>
      <c r="C326" s="32" t="str">
        <f>IF(D326&lt;&gt;"", HYPERLINK(VLOOKUP(D326, DATA!H:K, 4, FALSE), D326), "")</f>
        <v/>
      </c>
      <c r="D326" s="33"/>
      <c r="E326" s="30"/>
      <c r="F326" s="27"/>
      <c r="G326" s="38"/>
      <c r="H326" s="30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1"/>
    </row>
    <row r="327" ht="26.25" customHeight="1">
      <c r="A327" s="13"/>
      <c r="B327" s="31"/>
      <c r="C327" s="32" t="str">
        <f>IF(D327&lt;&gt;"", HYPERLINK(VLOOKUP(D327, DATA!H:K, 4, FALSE), D327), "")</f>
        <v/>
      </c>
      <c r="D327" s="33"/>
      <c r="E327" s="30"/>
      <c r="F327" s="27"/>
      <c r="G327" s="38"/>
      <c r="H327" s="30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28"/>
      <c r="T327" s="31"/>
    </row>
    <row r="328" ht="11.25" customHeight="1">
      <c r="A328" s="13"/>
      <c r="B328" s="37"/>
    </row>
    <row r="329" ht="11.25" customHeight="1">
      <c r="A329" s="13"/>
      <c r="B329" s="39"/>
      <c r="U329" s="16"/>
    </row>
    <row r="330" ht="18.75" customHeight="1">
      <c r="A330" s="13"/>
      <c r="B330" s="15" t="s">
        <v>32</v>
      </c>
      <c r="U330" s="16"/>
    </row>
    <row r="331" ht="30.0" customHeight="1">
      <c r="A331" s="13"/>
      <c r="B331" s="17"/>
      <c r="C331" s="18" t="b">
        <v>0</v>
      </c>
      <c r="D331" s="18"/>
      <c r="E331" s="19" t="str">
        <f>IFS(C331=FALSE, "⬅️ Check when DONE", C331=TRUE, "☑️ Workout Completed", TRUE, "")</f>
        <v>⬅️ Check when DONE</v>
      </c>
      <c r="H331" s="19"/>
      <c r="I331" s="20">
        <v>1.0</v>
      </c>
      <c r="J331" s="20">
        <v>2.0</v>
      </c>
      <c r="K331" s="20">
        <v>3.0</v>
      </c>
      <c r="L331" s="20">
        <v>4.0</v>
      </c>
      <c r="M331" s="20">
        <v>5.0</v>
      </c>
      <c r="N331" s="20">
        <v>6.0</v>
      </c>
      <c r="O331" s="20">
        <v>7.0</v>
      </c>
      <c r="P331" s="20">
        <v>8.0</v>
      </c>
      <c r="Q331" s="20">
        <v>9.0</v>
      </c>
      <c r="R331" s="20">
        <v>10.0</v>
      </c>
      <c r="S331" s="20"/>
      <c r="T331" s="22"/>
      <c r="U331" s="23"/>
    </row>
    <row r="332" ht="26.25" customHeight="1">
      <c r="A332" s="13"/>
      <c r="B332" s="30"/>
      <c r="C332" s="32" t="str">
        <f>IF(D332&lt;&gt;"", HYPERLINK(VLOOKUP(D332, DATA!H:K, 4, FALSE), D332), "")</f>
        <v/>
      </c>
      <c r="D332" s="33"/>
      <c r="E332" s="30"/>
      <c r="F332" s="27"/>
      <c r="G332" s="38"/>
      <c r="H332" s="30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1"/>
    </row>
    <row r="333" ht="26.25" customHeight="1">
      <c r="A333" s="13"/>
      <c r="B333" s="30"/>
      <c r="C333" s="32" t="str">
        <f>IF(D333&lt;&gt;"", HYPERLINK(VLOOKUP(D333, DATA!H:K, 4, FALSE), D333), "")</f>
        <v/>
      </c>
      <c r="D333" s="33"/>
      <c r="E333" s="30"/>
      <c r="F333" s="27"/>
      <c r="G333" s="38"/>
      <c r="H333" s="30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1"/>
    </row>
    <row r="334" ht="26.25" customHeight="1">
      <c r="A334" s="13"/>
      <c r="B334" s="30"/>
      <c r="C334" s="32" t="str">
        <f>IF(D334&lt;&gt;"", HYPERLINK(VLOOKUP(D334, DATA!H:K, 4, FALSE), D334), "")</f>
        <v/>
      </c>
      <c r="D334" s="33"/>
      <c r="E334" s="30"/>
      <c r="F334" s="27"/>
      <c r="G334" s="38"/>
      <c r="H334" s="30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1"/>
    </row>
    <row r="335" ht="26.25" customHeight="1">
      <c r="A335" s="13"/>
      <c r="B335" s="30"/>
      <c r="C335" s="32" t="str">
        <f>IF(D335&lt;&gt;"", HYPERLINK(VLOOKUP(D335, DATA!H:K, 4, FALSE), D335), "")</f>
        <v/>
      </c>
      <c r="D335" s="33"/>
      <c r="E335" s="30"/>
      <c r="F335" s="27"/>
      <c r="G335" s="38"/>
      <c r="H335" s="30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1"/>
    </row>
    <row r="336" ht="26.25" customHeight="1">
      <c r="A336" s="13"/>
      <c r="B336" s="30"/>
      <c r="C336" s="32" t="str">
        <f>IF(D336&lt;&gt;"", HYPERLINK(VLOOKUP(D336, DATA!H:K, 4, FALSE), D336), "")</f>
        <v/>
      </c>
      <c r="D336" s="33"/>
      <c r="E336" s="30"/>
      <c r="F336" s="27"/>
      <c r="G336" s="38"/>
      <c r="H336" s="30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1"/>
    </row>
    <row r="337" ht="26.25" customHeight="1">
      <c r="A337" s="13"/>
      <c r="B337" s="35"/>
      <c r="C337" s="32" t="str">
        <f>IF(D337&lt;&gt;"", HYPERLINK(VLOOKUP(D337, DATA!H:K, 4, FALSE), D337), "")</f>
        <v/>
      </c>
      <c r="D337" s="33"/>
      <c r="E337" s="30"/>
      <c r="F337" s="27"/>
      <c r="G337" s="38"/>
      <c r="H337" s="30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1"/>
    </row>
    <row r="338" ht="26.25" customHeight="1">
      <c r="A338" s="13"/>
      <c r="B338" s="36"/>
      <c r="C338" s="32" t="str">
        <f>IF(D338&lt;&gt;"", HYPERLINK(VLOOKUP(D338, DATA!H:K, 4, FALSE), D338), "")</f>
        <v/>
      </c>
      <c r="D338" s="33"/>
      <c r="E338" s="30"/>
      <c r="F338" s="27"/>
      <c r="G338" s="38"/>
      <c r="H338" s="30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1"/>
    </row>
    <row r="339" ht="26.25" customHeight="1">
      <c r="A339" s="13"/>
      <c r="B339" s="31"/>
      <c r="C339" s="32" t="str">
        <f>IF(D339&lt;&gt;"", HYPERLINK(VLOOKUP(D339, DATA!H:K, 4, FALSE), D339), "")</f>
        <v/>
      </c>
      <c r="D339" s="33"/>
      <c r="E339" s="30"/>
      <c r="F339" s="27"/>
      <c r="G339" s="38"/>
      <c r="H339" s="30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28"/>
      <c r="T339" s="31"/>
    </row>
    <row r="340" ht="11.25" customHeight="1">
      <c r="A340" s="13"/>
      <c r="B340" s="37"/>
    </row>
    <row r="341" ht="11.25" customHeight="1">
      <c r="A341" s="13"/>
      <c r="B341" s="39"/>
      <c r="U341" s="16"/>
    </row>
    <row r="342" ht="18.75" customHeight="1">
      <c r="A342" s="13"/>
      <c r="B342" s="15" t="s">
        <v>33</v>
      </c>
      <c r="U342" s="16"/>
    </row>
    <row r="343" ht="30.0" customHeight="1">
      <c r="A343" s="13"/>
      <c r="B343" s="17"/>
      <c r="C343" s="18" t="b">
        <v>0</v>
      </c>
      <c r="D343" s="18"/>
      <c r="E343" s="19" t="str">
        <f>IFS(C343=FALSE, "⬅️ Check when DONE", C343=TRUE, "☑️ Workout Completed", TRUE, "")</f>
        <v>⬅️ Check when DONE</v>
      </c>
      <c r="H343" s="19"/>
      <c r="I343" s="20">
        <v>1.0</v>
      </c>
      <c r="J343" s="20">
        <v>2.0</v>
      </c>
      <c r="K343" s="20">
        <v>3.0</v>
      </c>
      <c r="L343" s="20">
        <v>4.0</v>
      </c>
      <c r="M343" s="20">
        <v>5.0</v>
      </c>
      <c r="N343" s="20">
        <v>6.0</v>
      </c>
      <c r="O343" s="20">
        <v>7.0</v>
      </c>
      <c r="P343" s="20">
        <v>8.0</v>
      </c>
      <c r="Q343" s="20">
        <v>9.0</v>
      </c>
      <c r="R343" s="20">
        <v>10.0</v>
      </c>
      <c r="S343" s="20"/>
      <c r="T343" s="22"/>
      <c r="U343" s="23"/>
    </row>
    <row r="344" ht="26.25" customHeight="1">
      <c r="A344" s="13"/>
      <c r="B344" s="30"/>
      <c r="C344" s="32" t="str">
        <f>IF(D344&lt;&gt;"", HYPERLINK(VLOOKUP(D344, DATA!H:K, 4, FALSE), D344), "")</f>
        <v/>
      </c>
      <c r="D344" s="33"/>
      <c r="E344" s="30"/>
      <c r="F344" s="27"/>
      <c r="G344" s="38"/>
      <c r="H344" s="30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1"/>
    </row>
    <row r="345" ht="26.25" customHeight="1">
      <c r="A345" s="13"/>
      <c r="B345" s="30"/>
      <c r="C345" s="32" t="str">
        <f>IF(D345&lt;&gt;"", HYPERLINK(VLOOKUP(D345, DATA!H:K, 4, FALSE), D345), "")</f>
        <v/>
      </c>
      <c r="D345" s="33"/>
      <c r="E345" s="30"/>
      <c r="F345" s="27"/>
      <c r="G345" s="38"/>
      <c r="H345" s="30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1"/>
    </row>
    <row r="346" ht="26.25" customHeight="1">
      <c r="A346" s="13"/>
      <c r="B346" s="30"/>
      <c r="C346" s="32" t="str">
        <f>IF(D346&lt;&gt;"", HYPERLINK(VLOOKUP(D346, DATA!H:K, 4, FALSE), D346), "")</f>
        <v/>
      </c>
      <c r="D346" s="33"/>
      <c r="E346" s="30"/>
      <c r="F346" s="27"/>
      <c r="G346" s="38"/>
      <c r="H346" s="30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1"/>
    </row>
    <row r="347" ht="26.25" customHeight="1">
      <c r="A347" s="13"/>
      <c r="B347" s="30"/>
      <c r="C347" s="32" t="str">
        <f>IF(D347&lt;&gt;"", HYPERLINK(VLOOKUP(D347, DATA!H:K, 4, FALSE), D347), "")</f>
        <v/>
      </c>
      <c r="D347" s="33"/>
      <c r="E347" s="30"/>
      <c r="F347" s="27"/>
      <c r="G347" s="38"/>
      <c r="H347" s="30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1"/>
    </row>
    <row r="348" ht="26.25" customHeight="1">
      <c r="A348" s="13"/>
      <c r="B348" s="30"/>
      <c r="C348" s="32" t="str">
        <f>IF(D348&lt;&gt;"", HYPERLINK(VLOOKUP(D348, DATA!H:K, 4, FALSE), D348), "")</f>
        <v/>
      </c>
      <c r="D348" s="33"/>
      <c r="E348" s="30"/>
      <c r="F348" s="27"/>
      <c r="G348" s="38"/>
      <c r="H348" s="30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1"/>
    </row>
    <row r="349" ht="26.25" customHeight="1">
      <c r="A349" s="13"/>
      <c r="B349" s="35"/>
      <c r="C349" s="32" t="str">
        <f>IF(D349&lt;&gt;"", HYPERLINK(VLOOKUP(D349, DATA!H:K, 4, FALSE), D349), "")</f>
        <v/>
      </c>
      <c r="D349" s="33"/>
      <c r="E349" s="30"/>
      <c r="F349" s="27"/>
      <c r="G349" s="38"/>
      <c r="H349" s="30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1"/>
    </row>
    <row r="350" ht="26.25" customHeight="1">
      <c r="A350" s="13"/>
      <c r="B350" s="36"/>
      <c r="C350" s="32" t="str">
        <f>IF(D350&lt;&gt;"", HYPERLINK(VLOOKUP(D350, DATA!H:K, 4, FALSE), D350), "")</f>
        <v/>
      </c>
      <c r="D350" s="33"/>
      <c r="E350" s="30"/>
      <c r="F350" s="27"/>
      <c r="G350" s="38"/>
      <c r="H350" s="30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1"/>
    </row>
    <row r="351" ht="26.25" customHeight="1">
      <c r="A351" s="13"/>
      <c r="B351" s="31"/>
      <c r="C351" s="32" t="str">
        <f>IF(D351&lt;&gt;"", HYPERLINK(VLOOKUP(D351, DATA!H:K, 4, FALSE), D351), "")</f>
        <v/>
      </c>
      <c r="D351" s="33"/>
      <c r="E351" s="30"/>
      <c r="F351" s="27"/>
      <c r="G351" s="38"/>
      <c r="H351" s="30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28"/>
      <c r="T351" s="31"/>
    </row>
    <row r="352" ht="11.25" customHeight="1">
      <c r="A352" s="13"/>
      <c r="B352" s="37"/>
    </row>
    <row r="353" ht="11.25" customHeight="1">
      <c r="A353" s="13"/>
      <c r="B353" s="39"/>
      <c r="U353" s="16"/>
    </row>
    <row r="354" ht="18.75" customHeight="1">
      <c r="A354" s="13"/>
      <c r="B354" s="15" t="s">
        <v>35</v>
      </c>
      <c r="U354" s="16"/>
    </row>
    <row r="355" ht="30.0" customHeight="1">
      <c r="A355" s="13"/>
      <c r="B355" s="17"/>
      <c r="C355" s="18" t="b">
        <v>0</v>
      </c>
      <c r="D355" s="18"/>
      <c r="E355" s="19" t="str">
        <f>IFS(C355=FALSE, "⬅️ Check when DONE", C355=TRUE, "☑️ Workout Completed", TRUE, "")</f>
        <v>⬅️ Check when DONE</v>
      </c>
      <c r="H355" s="19"/>
      <c r="I355" s="20">
        <v>1.0</v>
      </c>
      <c r="J355" s="20">
        <v>2.0</v>
      </c>
      <c r="K355" s="20">
        <v>3.0</v>
      </c>
      <c r="L355" s="20">
        <v>4.0</v>
      </c>
      <c r="M355" s="20">
        <v>5.0</v>
      </c>
      <c r="N355" s="20">
        <v>6.0</v>
      </c>
      <c r="O355" s="20">
        <v>7.0</v>
      </c>
      <c r="P355" s="20">
        <v>8.0</v>
      </c>
      <c r="Q355" s="20">
        <v>9.0</v>
      </c>
      <c r="R355" s="20">
        <v>10.0</v>
      </c>
      <c r="S355" s="20"/>
      <c r="T355" s="22"/>
      <c r="U355" s="23"/>
    </row>
    <row r="356" ht="26.25" customHeight="1">
      <c r="A356" s="13"/>
      <c r="B356" s="30"/>
      <c r="C356" s="32" t="str">
        <f>IF(D356&lt;&gt;"", HYPERLINK(VLOOKUP(D356, DATA!H:K, 4, FALSE), D356), "")</f>
        <v/>
      </c>
      <c r="D356" s="33"/>
      <c r="E356" s="30"/>
      <c r="F356" s="27"/>
      <c r="G356" s="38"/>
      <c r="H356" s="30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1"/>
    </row>
    <row r="357" ht="26.25" customHeight="1">
      <c r="A357" s="13"/>
      <c r="B357" s="30"/>
      <c r="C357" s="32" t="str">
        <f>IF(D357&lt;&gt;"", HYPERLINK(VLOOKUP(D357, DATA!H:K, 4, FALSE), D357), "")</f>
        <v/>
      </c>
      <c r="D357" s="33"/>
      <c r="E357" s="30"/>
      <c r="F357" s="27"/>
      <c r="G357" s="38"/>
      <c r="H357" s="30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1"/>
    </row>
    <row r="358" ht="26.25" customHeight="1">
      <c r="A358" s="13"/>
      <c r="B358" s="30"/>
      <c r="C358" s="32" t="str">
        <f>IF(D358&lt;&gt;"", HYPERLINK(VLOOKUP(D358, DATA!H:K, 4, FALSE), D358), "")</f>
        <v/>
      </c>
      <c r="D358" s="33"/>
      <c r="E358" s="30"/>
      <c r="F358" s="27"/>
      <c r="G358" s="38"/>
      <c r="H358" s="30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1"/>
    </row>
    <row r="359" ht="26.25" customHeight="1">
      <c r="A359" s="13"/>
      <c r="B359" s="30"/>
      <c r="C359" s="32" t="str">
        <f>IF(D359&lt;&gt;"", HYPERLINK(VLOOKUP(D359, DATA!H:K, 4, FALSE), D359), "")</f>
        <v/>
      </c>
      <c r="D359" s="33"/>
      <c r="E359" s="30"/>
      <c r="F359" s="27"/>
      <c r="G359" s="38"/>
      <c r="H359" s="30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1"/>
    </row>
    <row r="360" ht="26.25" customHeight="1">
      <c r="A360" s="13"/>
      <c r="B360" s="30"/>
      <c r="C360" s="32" t="str">
        <f>IF(D360&lt;&gt;"", HYPERLINK(VLOOKUP(D360, DATA!H:K, 4, FALSE), D360), "")</f>
        <v/>
      </c>
      <c r="D360" s="33"/>
      <c r="E360" s="30"/>
      <c r="F360" s="27"/>
      <c r="G360" s="38"/>
      <c r="H360" s="30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1"/>
    </row>
    <row r="361" ht="26.25" customHeight="1">
      <c r="A361" s="13"/>
      <c r="B361" s="35"/>
      <c r="C361" s="32" t="str">
        <f>IF(D361&lt;&gt;"", HYPERLINK(VLOOKUP(D361, DATA!H:K, 4, FALSE), D361), "")</f>
        <v/>
      </c>
      <c r="D361" s="33"/>
      <c r="E361" s="30"/>
      <c r="F361" s="27"/>
      <c r="G361" s="38"/>
      <c r="H361" s="30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1"/>
    </row>
    <row r="362" ht="26.25" customHeight="1">
      <c r="A362" s="13"/>
      <c r="B362" s="36"/>
      <c r="C362" s="32" t="str">
        <f>IF(D362&lt;&gt;"", HYPERLINK(VLOOKUP(D362, DATA!H:K, 4, FALSE), D362), "")</f>
        <v/>
      </c>
      <c r="D362" s="33"/>
      <c r="E362" s="30"/>
      <c r="F362" s="27"/>
      <c r="G362" s="38"/>
      <c r="H362" s="30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1"/>
    </row>
    <row r="363" ht="26.25" customHeight="1">
      <c r="A363" s="13"/>
      <c r="B363" s="31"/>
      <c r="C363" s="32" t="str">
        <f>IF(D363&lt;&gt;"", HYPERLINK(VLOOKUP(D363, DATA!H:K, 4, FALSE), D363), "")</f>
        <v/>
      </c>
      <c r="D363" s="33"/>
      <c r="E363" s="30"/>
      <c r="F363" s="27"/>
      <c r="G363" s="38"/>
      <c r="H363" s="30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28"/>
      <c r="T363" s="31"/>
    </row>
    <row r="364" ht="11.25" customHeight="1">
      <c r="A364" s="13"/>
      <c r="B364" s="37"/>
    </row>
    <row r="365" ht="11.25" customHeight="1">
      <c r="A365" s="13"/>
      <c r="B365" s="39"/>
      <c r="U365" s="16"/>
    </row>
  </sheetData>
  <mergeCells count="159">
    <mergeCell ref="U19:U28"/>
    <mergeCell ref="U31:U40"/>
    <mergeCell ref="U43:U52"/>
    <mergeCell ref="U55:U64"/>
    <mergeCell ref="U67:U76"/>
    <mergeCell ref="U79:U88"/>
    <mergeCell ref="U91:U100"/>
    <mergeCell ref="U103:U112"/>
    <mergeCell ref="U115:U124"/>
    <mergeCell ref="U127:U136"/>
    <mergeCell ref="U139:U148"/>
    <mergeCell ref="U151:U160"/>
    <mergeCell ref="U163:U172"/>
    <mergeCell ref="U175:U184"/>
    <mergeCell ref="U283:U292"/>
    <mergeCell ref="U295:U304"/>
    <mergeCell ref="U307:U316"/>
    <mergeCell ref="U319:U328"/>
    <mergeCell ref="U331:U340"/>
    <mergeCell ref="U343:U352"/>
    <mergeCell ref="U355:U364"/>
    <mergeCell ref="U187:U196"/>
    <mergeCell ref="U199:U208"/>
    <mergeCell ref="U223:U232"/>
    <mergeCell ref="U235:U244"/>
    <mergeCell ref="U247:U256"/>
    <mergeCell ref="U259:U268"/>
    <mergeCell ref="U271:U280"/>
    <mergeCell ref="B1:H1"/>
    <mergeCell ref="I1:T1"/>
    <mergeCell ref="D2:R2"/>
    <mergeCell ref="D3:E3"/>
    <mergeCell ref="F3:G3"/>
    <mergeCell ref="H3:J3"/>
    <mergeCell ref="K3:N3"/>
    <mergeCell ref="O3:R3"/>
    <mergeCell ref="I4:R4"/>
    <mergeCell ref="B5:T5"/>
    <mergeCell ref="B6:T6"/>
    <mergeCell ref="E7:G7"/>
    <mergeCell ref="U7:U16"/>
    <mergeCell ref="B16:T16"/>
    <mergeCell ref="B17:T17"/>
    <mergeCell ref="B18:T18"/>
    <mergeCell ref="E19:G19"/>
    <mergeCell ref="B28:T28"/>
    <mergeCell ref="B29:T29"/>
    <mergeCell ref="B30:T30"/>
    <mergeCell ref="E31:G31"/>
    <mergeCell ref="B40:T40"/>
    <mergeCell ref="B41:T41"/>
    <mergeCell ref="B42:T42"/>
    <mergeCell ref="E43:G43"/>
    <mergeCell ref="B52:T52"/>
    <mergeCell ref="B53:T53"/>
    <mergeCell ref="B54:T54"/>
    <mergeCell ref="E55:G55"/>
    <mergeCell ref="B64:T64"/>
    <mergeCell ref="B65:T65"/>
    <mergeCell ref="B66:T66"/>
    <mergeCell ref="E67:G67"/>
    <mergeCell ref="B76:T76"/>
    <mergeCell ref="B77:T77"/>
    <mergeCell ref="B78:T78"/>
    <mergeCell ref="E79:G79"/>
    <mergeCell ref="B88:T88"/>
    <mergeCell ref="B89:T89"/>
    <mergeCell ref="B90:T90"/>
    <mergeCell ref="E91:G91"/>
    <mergeCell ref="B100:T100"/>
    <mergeCell ref="B101:T101"/>
    <mergeCell ref="B102:T102"/>
    <mergeCell ref="E103:G103"/>
    <mergeCell ref="B112:T112"/>
    <mergeCell ref="B113:T113"/>
    <mergeCell ref="B114:T114"/>
    <mergeCell ref="E115:G115"/>
    <mergeCell ref="B246:T246"/>
    <mergeCell ref="E247:G247"/>
    <mergeCell ref="B256:T256"/>
    <mergeCell ref="B257:T257"/>
    <mergeCell ref="B258:T258"/>
    <mergeCell ref="E259:G259"/>
    <mergeCell ref="B268:T268"/>
    <mergeCell ref="B269:T269"/>
    <mergeCell ref="B270:T270"/>
    <mergeCell ref="E271:G271"/>
    <mergeCell ref="B280:T280"/>
    <mergeCell ref="B281:T281"/>
    <mergeCell ref="B282:T282"/>
    <mergeCell ref="E283:G283"/>
    <mergeCell ref="E307:G307"/>
    <mergeCell ref="B316:T316"/>
    <mergeCell ref="B317:T317"/>
    <mergeCell ref="B318:T318"/>
    <mergeCell ref="E319:G319"/>
    <mergeCell ref="B328:T328"/>
    <mergeCell ref="B329:T329"/>
    <mergeCell ref="B353:T353"/>
    <mergeCell ref="B354:T354"/>
    <mergeCell ref="E355:G355"/>
    <mergeCell ref="B364:T364"/>
    <mergeCell ref="B365:T365"/>
    <mergeCell ref="B330:T330"/>
    <mergeCell ref="E331:G331"/>
    <mergeCell ref="B340:T340"/>
    <mergeCell ref="B341:T341"/>
    <mergeCell ref="B342:T342"/>
    <mergeCell ref="E343:G343"/>
    <mergeCell ref="B352:T352"/>
    <mergeCell ref="B124:T124"/>
    <mergeCell ref="B125:T125"/>
    <mergeCell ref="B126:T126"/>
    <mergeCell ref="E127:G127"/>
    <mergeCell ref="B136:T136"/>
    <mergeCell ref="B137:T137"/>
    <mergeCell ref="B138:T138"/>
    <mergeCell ref="E139:G139"/>
    <mergeCell ref="B148:T148"/>
    <mergeCell ref="B149:T149"/>
    <mergeCell ref="B150:T150"/>
    <mergeCell ref="E151:G151"/>
    <mergeCell ref="B160:T160"/>
    <mergeCell ref="B161:T161"/>
    <mergeCell ref="B162:T162"/>
    <mergeCell ref="E163:G163"/>
    <mergeCell ref="B172:T172"/>
    <mergeCell ref="B173:T173"/>
    <mergeCell ref="B174:T174"/>
    <mergeCell ref="E175:G175"/>
    <mergeCell ref="B184:T184"/>
    <mergeCell ref="B185:T185"/>
    <mergeCell ref="B186:T186"/>
    <mergeCell ref="E187:G187"/>
    <mergeCell ref="B196:T196"/>
    <mergeCell ref="B197:T197"/>
    <mergeCell ref="B198:T198"/>
    <mergeCell ref="E199:G199"/>
    <mergeCell ref="B208:T208"/>
    <mergeCell ref="B209:T209"/>
    <mergeCell ref="B210:T210"/>
    <mergeCell ref="E211:G211"/>
    <mergeCell ref="B220:T220"/>
    <mergeCell ref="B221:T221"/>
    <mergeCell ref="B222:T222"/>
    <mergeCell ref="E223:G223"/>
    <mergeCell ref="B232:T232"/>
    <mergeCell ref="B233:T233"/>
    <mergeCell ref="B234:T234"/>
    <mergeCell ref="E235:G235"/>
    <mergeCell ref="B244:T244"/>
    <mergeCell ref="B245:T245"/>
    <mergeCell ref="B292:T292"/>
    <mergeCell ref="B293:T293"/>
    <mergeCell ref="B294:T294"/>
    <mergeCell ref="E295:G295"/>
    <mergeCell ref="B304:T304"/>
    <mergeCell ref="B305:T305"/>
    <mergeCell ref="B306:T306"/>
  </mergeCells>
  <conditionalFormatting sqref="B68:S69 B80:S81">
    <cfRule type="expression" dxfId="3" priority="1">
      <formula>$C$274=TRUE()</formula>
    </cfRule>
  </conditionalFormatting>
  <conditionalFormatting sqref="B6:T16">
    <cfRule type="expression" dxfId="3" priority="2">
      <formula>$C$7=TRUE()</formula>
    </cfRule>
  </conditionalFormatting>
  <conditionalFormatting sqref="B18:T28 T31 I32:L32">
    <cfRule type="expression" dxfId="3" priority="3">
      <formula>$C$19=TRUE()</formula>
    </cfRule>
  </conditionalFormatting>
  <conditionalFormatting sqref="B30:T40">
    <cfRule type="expression" dxfId="3" priority="4">
      <formula>$C$31=TRUE()</formula>
    </cfRule>
  </conditionalFormatting>
  <conditionalFormatting sqref="B42:T52">
    <cfRule type="expression" dxfId="3" priority="5">
      <formula>$C$43=TRUE()</formula>
    </cfRule>
  </conditionalFormatting>
  <conditionalFormatting sqref="B54:T64">
    <cfRule type="expression" dxfId="3" priority="6">
      <formula>$C$55=TRUE()</formula>
    </cfRule>
  </conditionalFormatting>
  <conditionalFormatting sqref="B78:T88">
    <cfRule type="expression" dxfId="3" priority="7">
      <formula>$C$79=TRUE()</formula>
    </cfRule>
  </conditionalFormatting>
  <conditionalFormatting sqref="B90:T100">
    <cfRule type="expression" dxfId="3" priority="8">
      <formula>$C$91=TRUE()</formula>
    </cfRule>
  </conditionalFormatting>
  <conditionalFormatting sqref="B102:T112">
    <cfRule type="expression" dxfId="3" priority="9">
      <formula>$C$103=TRUE()</formula>
    </cfRule>
  </conditionalFormatting>
  <conditionalFormatting sqref="B114:T124">
    <cfRule type="expression" dxfId="3" priority="10">
      <formula>$C$115=TRUE()</formula>
    </cfRule>
  </conditionalFormatting>
  <conditionalFormatting sqref="B126:T136 C152:C153">
    <cfRule type="expression" dxfId="3" priority="11">
      <formula>$C$127=TRUE()</formula>
    </cfRule>
  </conditionalFormatting>
  <conditionalFormatting sqref="B138:T148">
    <cfRule type="expression" dxfId="3" priority="12">
      <formula>$C$139=TRUE()</formula>
    </cfRule>
  </conditionalFormatting>
  <conditionalFormatting sqref="B150:T160 T163 T175 T187">
    <cfRule type="expression" dxfId="3" priority="13">
      <formula>$C$151=TRUE()</formula>
    </cfRule>
  </conditionalFormatting>
  <conditionalFormatting sqref="B162:T172">
    <cfRule type="expression" dxfId="3" priority="14">
      <formula>$C$163=TRUE()</formula>
    </cfRule>
  </conditionalFormatting>
  <conditionalFormatting sqref="B174:T184">
    <cfRule type="expression" dxfId="3" priority="15">
      <formula>$C$175=TRUE()</formula>
    </cfRule>
  </conditionalFormatting>
  <conditionalFormatting sqref="B186:T196">
    <cfRule type="expression" dxfId="3" priority="16">
      <formula>$C$187=TRUE()</formula>
    </cfRule>
  </conditionalFormatting>
  <conditionalFormatting sqref="B198:T208">
    <cfRule type="expression" dxfId="3" priority="17">
      <formula>$C$199=TRUE()</formula>
    </cfRule>
  </conditionalFormatting>
  <conditionalFormatting sqref="B210:T220">
    <cfRule type="expression" dxfId="3" priority="18">
      <formula>$C$211=TRUE()</formula>
    </cfRule>
  </conditionalFormatting>
  <conditionalFormatting sqref="B222:T232">
    <cfRule type="expression" dxfId="3" priority="19">
      <formula>$C$223=TRUE()</formula>
    </cfRule>
  </conditionalFormatting>
  <conditionalFormatting sqref="B234:T244">
    <cfRule type="expression" dxfId="3" priority="20">
      <formula>$C$235=TRUE()</formula>
    </cfRule>
  </conditionalFormatting>
  <conditionalFormatting sqref="B246:T256">
    <cfRule type="expression" dxfId="3" priority="21">
      <formula>$C$247=TRUE()</formula>
    </cfRule>
  </conditionalFormatting>
  <conditionalFormatting sqref="B258:T268">
    <cfRule type="expression" dxfId="3" priority="22">
      <formula>$C$259=TRUE()</formula>
    </cfRule>
  </conditionalFormatting>
  <conditionalFormatting sqref="B270:T280">
    <cfRule type="expression" dxfId="3" priority="23">
      <formula>$C$271=TRUE()</formula>
    </cfRule>
  </conditionalFormatting>
  <conditionalFormatting sqref="B282:T292">
    <cfRule type="expression" dxfId="3" priority="24">
      <formula>$C$283=TRUE()</formula>
    </cfRule>
  </conditionalFormatting>
  <conditionalFormatting sqref="B294:T304">
    <cfRule type="expression" dxfId="3" priority="25">
      <formula>$C$295=TRUE()</formula>
    </cfRule>
  </conditionalFormatting>
  <conditionalFormatting sqref="B306:T316">
    <cfRule type="expression" dxfId="3" priority="26">
      <formula>$C$307=TRUE()</formula>
    </cfRule>
  </conditionalFormatting>
  <conditionalFormatting sqref="B318:T328">
    <cfRule type="expression" dxfId="3" priority="27">
      <formula>$C$319=TRUE()</formula>
    </cfRule>
  </conditionalFormatting>
  <conditionalFormatting sqref="B330:T340">
    <cfRule type="expression" dxfId="3" priority="28">
      <formula>$C$331=TRUE()</formula>
    </cfRule>
  </conditionalFormatting>
  <conditionalFormatting sqref="B342:T352">
    <cfRule type="expression" dxfId="3" priority="29">
      <formula>$C$343=TRUE()</formula>
    </cfRule>
  </conditionalFormatting>
  <conditionalFormatting sqref="B354:T364">
    <cfRule type="expression" dxfId="3" priority="30">
      <formula>$C$355=TRUE()</formula>
    </cfRule>
  </conditionalFormatting>
  <conditionalFormatting sqref="B66:T76 B80:S81">
    <cfRule type="expression" dxfId="3" priority="31">
      <formula>$C$67=TRUE()</formula>
    </cfRule>
  </conditionalFormatting>
  <conditionalFormatting sqref="I8:I15 I20:I27 J20:L20 I32:I39 I44:I51 I56:I63 J57:L57 I68:I75 J68:L68 I80:I87 I92:I99 I104:I111 J108:L108 I116:I123 I128:I135 J128:L128 I140:I147 I152:I159 I164:I171 I176:I183 I188:I195 I200:I207 I212:I219 I224:I231 I236:I243 I248:I255 I260:I267 I272:I279 I284:I291 I296:I303 I308:I315 I320:I327 I332:I339 I344:I351 I356:I363">
    <cfRule type="expression" dxfId="4" priority="32">
      <formula>$E8=1</formula>
    </cfRule>
  </conditionalFormatting>
  <conditionalFormatting sqref="I8:J15 I20:J27 K20:L20 I32:J39 I44:J51 I56:J63 K57:L57 I68:J75 K68:L68 I80:J87 I92:J99 I104:J111 K108:L108 I116:J123 I128:J135 K128:L128 I140:J147 I152:J159 I164:J171 I176:J183 I188:J195 I200:J207 I212:J219 I224:J231 I236:J243 I248:J255 I260:J267 I272:J279 I284:J291 I296:J303 I308:J315 I320:J327 I332:J339 I344:J351 I356:J363">
    <cfRule type="expression" dxfId="4" priority="33">
      <formula>$E8=2</formula>
    </cfRule>
  </conditionalFormatting>
  <conditionalFormatting sqref="I8:K15 I20:K27 L20 I32:K39 I44:K51 I56:K63 L57 I68:K75 L68 I80:K87 I92:K99 I104:K111 L108 I116:K123 I128:K135 L128 I140:K147 I152:K159 I164:K171 I176:K183 I188:K195 I200:K207 I212:K219 I224:K231 I236:K243 I248:K255 I260:K267 I272:K279 I284:K291 I296:K303 I308:K315 I320:K327 I332:K339 I344:K351 I356:K363">
    <cfRule type="expression" dxfId="4" priority="34">
      <formula>$E8=3</formula>
    </cfRule>
  </conditionalFormatting>
  <conditionalFormatting sqref="I8:L15 I20:L27 I32:L39 I44:L51 I56:L63 I68:L75 I80:L87 I92:L99 I104:L111 I116:L123 I128:L135 I140:L147 I152:L159 I164:L171 I176:L183 I188:L195 I200:L207 I212:L219 I224:L231 I236:L243 I248:L255 I260:L267 I272:L279 I284:L291 I296:L303 I308:L315 I320:L327 I332:L339 I344:L351 I356:L363">
    <cfRule type="expression" dxfId="4" priority="35">
      <formula>$E8=4</formula>
    </cfRule>
  </conditionalFormatting>
  <conditionalFormatting sqref="I8:M15 I20:M27 I32:M39 I44:M51 I56:M63 I68:M75 I80:M87 I92:M99 I104:M111 I116:M123 I128:M135 I140:M147 I152:M159 I164:M171 I176:M183 I188:M195 I200:M207 I212:M219 I224:M231 I236:M243 I248:M255 I260:M267 I272:M279 I284:M291 I296:M303 I308:M315 I320:M327 I332:M339 I344:M351 I356:M363">
    <cfRule type="expression" dxfId="4" priority="36">
      <formula>$E8=5</formula>
    </cfRule>
  </conditionalFormatting>
  <conditionalFormatting sqref="I8:N15 I20:N27 I32:N39 I44:N51 I56:N63 I68:N75 I80:N87 I92:N99 I104:N111 I116:N123 I128:N135 I140:N147 I152:N159 I164:N171 I176:N183 I188:N195 I200:N207 I212:N219 I224:N231 I236:N243 I248:N255 I260:N267 I272:N279 I284:N291 I296:N303 I308:N315 I320:N327 I332:N339 I344:N351 I356:N363">
    <cfRule type="expression" dxfId="4" priority="37">
      <formula>$E8=6</formula>
    </cfRule>
  </conditionalFormatting>
  <conditionalFormatting sqref="I8:O15 I20:O27 I32:O39 I44:O51 I56:O63 I68:O75 I80:O87 I92:O99 I104:O111 I116:O123 I128:O135 I140:O147 I152:O159 I164:O171 I176:O183 I188:O195 I200:O207 I212:O219 I224:O231 I236:O243 I248:O255 I260:O267 I272:O279 I284:O291 I296:O303 I308:O315 I320:O327 I332:O339 I344:O351 I356:O363">
    <cfRule type="expression" dxfId="4" priority="38">
      <formula>$E8=7</formula>
    </cfRule>
  </conditionalFormatting>
  <conditionalFormatting sqref="I8:P15 I20:P27 I32:P39 I44:P51 I56:P63 I68:P75 I80:P87 I92:P99 I104:P111 I116:P123 I128:P135 I140:P147 I152:P159 I164:P171 I176:P183 I188:P195 I200:P207 I212:P219 I224:P231 I236:P243 I248:P255 I260:P267 I272:P279 I284:P291 I296:P303 I308:P315 I320:P327 I332:P339 I344:P351 I356:P363">
    <cfRule type="expression" dxfId="4" priority="39">
      <formula>$E8=8</formula>
    </cfRule>
  </conditionalFormatting>
  <conditionalFormatting sqref="I8:Q15 I20:Q27 I32:Q39 I44:Q51 I56:Q63 I68:Q75 I80:Q87 I92:Q99 I104:Q111 I116:Q123 I128:Q135 I140:Q147 I152:Q159 I164:Q171 I176:Q183 I188:Q195 I200:Q207 I212:Q219 I224:Q231 I236:Q243 I248:Q255 I260:Q267 I272:Q279 I284:Q291 I296:Q303 I308:Q315 I320:Q327 I332:Q339 I344:Q351 I356:Q363">
    <cfRule type="expression" dxfId="4" priority="40">
      <formula>$E8=9</formula>
    </cfRule>
  </conditionalFormatting>
  <conditionalFormatting sqref="I8:R15 I20:R27 I32:R39 I44:R51 I56:R63 I68:R75 I80:R87 I92:R99 I104:R111 I116:R123 I128:R135 I140:R147 I152:R159 I164:R171 I176:R183 I188:R195 I200:R207 I212:R219 I224:R231 I236:R243 I248:R255 I260:R267 I272:R279 I284:R291 I296:R303 I308:R315 I320:R327 I332:R339 I344:R351 I356:R363">
    <cfRule type="expression" dxfId="4" priority="41">
      <formula>$E8=10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5" priority="42">
      <formula>$B8="A"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6" priority="43">
      <formula>$B8="B"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5" priority="44">
      <formula>$B8="C"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6" priority="45">
      <formula>$B8="D"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5" priority="46">
      <formula>$B8="E"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6" priority="47">
      <formula>$B8="F"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6" priority="48">
      <formula>$B8="F"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5" priority="49">
      <formula>$B8="G"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6" priority="50">
      <formula>$B8="H"</formula>
    </cfRule>
  </conditionalFormatting>
  <conditionalFormatting sqref="B8:T15 B20:T27 B32:T39 B44:T51 B56:T63 B68:T75 B80:T87 B92:T99 B104:T111 B116:T123 B128:T135 B140:T147 B152:T159 B164:T171 B176:T183 B188:T195 B200:T207 B212:U219 B224:T231 B236:T243 B248:T255 B260:T267 B272:T279 B284:T291 B296:T303 B308:T315 B320:T327 B332:T339 B344:T351 B356:T363">
    <cfRule type="expression" dxfId="5" priority="51">
      <formula>$B8="I"</formula>
    </cfRule>
  </conditionalFormatting>
  <conditionalFormatting sqref="B17:T17">
    <cfRule type="expression" dxfId="7" priority="52">
      <formula>$C$7=TRUE()</formula>
    </cfRule>
  </conditionalFormatting>
  <dataValidations>
    <dataValidation type="list" allowBlank="1" showErrorMessage="1" sqref="E8:E15 E20:E27 E32:E39 E44:E51 E56:E63 E68:E75 E80:E87 E92:E99 E104:E111 E116:E123 E128:E135 E140:E147 E152:E159 E164:E171 E176:E183 E188:E195 E200:E207 E212:E219 E224:E231 E236:E243 E248:E255 E260:E267 E272:E279 E284:E291 E296:E303 E308:E315 E320:E327 E332:E339 E344:E351 E356:E363">
      <formula1>DATA!$A$3:$A$15</formula1>
    </dataValidation>
    <dataValidation type="list" allowBlank="1" showErrorMessage="1" sqref="I4">
      <formula1>"Weight (Lbs),Weight (Kg)"</formula1>
    </dataValidation>
    <dataValidation type="list" allowBlank="1" sqref="G8">
      <formula1>DATA!$E$3:$E$1300</formula1>
    </dataValidation>
    <dataValidation type="list" allowBlank="1" sqref="D8:D15 D20:D27 D32:D39 D44:D51 D56:D63 D68:D75 D80:D87 D92:D99 D104:D111 D116:D123 D128:D135 D140:D147 D152:D159 D164:D171 D176:D183 D188:D195 D200:D207 D212:D219 D224:D231 D236:D243 D248:D255 D260:D267 D272:D279 D284:D291 D296:D303 D308:D315 D320:D327 D332:D339 D344:D351 D356:D363">
      <formula1>DATA!$H$3:$H365</formula1>
    </dataValidation>
    <dataValidation type="list" allowBlank="1" showInputMessage="1" showErrorMessage="1" prompt="hello" sqref="G9:G15 G20:G27 G32:G39 G44:G51 G56:G63 G68:G75 G80:G87 G92:G99 G104:G111 G116:G123 G128:G135 G140:G147 G152:G159 G164:G171 G176:G183 G188:G195 G200:G207 G212:G219 G224:G231 G236:G243 G248:G255 G260:G267 G272:G279 G284:G291 G296:G303 G308:G315 G320:G327 G332:G339 G344:G351 G356:G363">
      <formula1>DATA!$E$3:$E$22</formula1>
    </dataValidation>
    <dataValidation type="list" allowBlank="1" showErrorMessage="1" sqref="B7 B19 B31 B43 B55 B67 B79 B91 B103 B115 B127 B139 B151 B163 B175 B187 B199 B211 B223 B235 B247 B259 B271 B283 B295 B307 B319 B331 B343 B355">
      <formula1>DATA!$F$3:$F$22</formula1>
    </dataValidation>
    <dataValidation type="list" allowBlank="1" showErrorMessage="1" sqref="B8:B15 B20:B27 B32:B39 B44:B51 B56:B63 B68:B75 B80:B87 B92:B99 B104:B111 B116:B123 B128:B135 B140:B147 B152:B159 B164:B171 B176:B183 B188:B195 B200:B207 B212:B219 B224:B231 B236:B243 B248:B255 B260:B267 B272:B279 B284:B291 B296:B303 B308:B315 B320:B327 B332:B339 B344:B351 B356:B363">
      <formula1>DATA!$D$3:$D$11</formula1>
    </dataValidation>
    <dataValidation type="list" allowBlank="1" showErrorMessage="1" sqref="H8:H15 H20:H27 H32:H39 H44:H51 H56:H63 H68:H75 H80:H87 H92:H99 H104:H111 H116:H123 H128:H135 H140:H147 H152:H159 H164:H171 H176:H183 H188:H195 H200:H207 H212:H219 H224:H231 H236:H243 H248:H255 H260:H267 H272:H279 H284:H291 H296:H303 H308:H315 H320:H327 H332:H339 H344:H351 H356:H363">
      <formula1>DATA!$C$3:$C$15</formula1>
    </dataValidation>
  </dataValidations>
  <hyperlinks>
    <hyperlink display="WEEK 1" location="Week1" ref="D3"/>
    <hyperlink display="WEEK 2" location="Week2" ref="F3"/>
    <hyperlink display="WEEK 3" location="Week3" ref="H3"/>
    <hyperlink display="WEEK 4" location="Week4" ref="K3"/>
    <hyperlink display="WEEK 5" location="Week5" ref="O3"/>
  </hyperlinks>
  <drawing r:id="rId2"/>
  <legacyDrawing r:id="rId3"/>
  <tableParts count="30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0"/>
    <col customWidth="1" min="2" max="2" width="5.13"/>
    <col customWidth="1" min="3" max="3" width="32.63"/>
    <col customWidth="1" min="4" max="4" width="8.88"/>
    <col customWidth="1" min="5" max="6" width="6.38"/>
    <col customWidth="1" min="7" max="7" width="8.88"/>
    <col customWidth="1" min="8" max="8" width="7.63"/>
    <col customWidth="1" min="9" max="18" width="3.88"/>
    <col customWidth="1" min="19" max="20" width="18.88"/>
    <col customWidth="1" min="21" max="21" width="2.0"/>
  </cols>
  <sheetData>
    <row r="1" ht="37.5" hidden="1" customHeight="1">
      <c r="A1" s="1"/>
      <c r="B1" s="47" t="str">
        <f>HYPERLINK("https://wa.me/13106587414?text=Hello%20Michal", "WhatsApp Me")</f>
        <v>WhatsApp Me</v>
      </c>
      <c r="I1" s="47" t="str">
        <f>HYPERLINK("mailto:mfiala@fialafitness.com?subject=Training Inquiry", "Email Me")</f>
        <v>Email Me</v>
      </c>
      <c r="U1" s="1"/>
    </row>
    <row r="2" ht="32.25" customHeight="1">
      <c r="A2" s="3"/>
      <c r="B2" s="48"/>
      <c r="C2" s="48" t="s">
        <v>0</v>
      </c>
      <c r="D2" s="48" t="s">
        <v>1</v>
      </c>
      <c r="S2" s="48" t="s">
        <v>2</v>
      </c>
      <c r="T2" s="48" t="s">
        <v>50</v>
      </c>
      <c r="U2" s="3"/>
    </row>
    <row r="3" ht="37.5" customHeight="1">
      <c r="A3" s="4"/>
      <c r="B3" s="49"/>
      <c r="C3" s="49">
        <f>IF(WEEKDAY(DATE(YEAR(TODAY()), MONTH(TODAY()), 1), 2) = 7, 
    WEEKNUM(TODAY(), 2) - WEEKNUM(DATE(YEAR(TODAY()), MONTH(TODAY()), 2), 2) + 1, 
    WEEKNUM(TODAY(), 2) - WEEKNUM(DATE(YEAR(TODAY()), MONTH(TODAY()), 1), 2) + 1)</f>
        <v>5</v>
      </c>
      <c r="D3" s="50" t="s">
        <v>3</v>
      </c>
      <c r="F3" s="50" t="s">
        <v>4</v>
      </c>
      <c r="H3" s="50" t="s">
        <v>5</v>
      </c>
      <c r="K3" s="50" t="s">
        <v>6</v>
      </c>
      <c r="O3" s="50" t="s">
        <v>7</v>
      </c>
      <c r="S3" s="51"/>
      <c r="T3" s="51"/>
      <c r="U3" s="9"/>
    </row>
    <row r="4" ht="45.0" customHeight="1">
      <c r="A4" s="13"/>
      <c r="B4" s="14" t="s">
        <v>3</v>
      </c>
      <c r="U4" s="13"/>
    </row>
    <row r="5" ht="30.0" customHeight="1">
      <c r="A5" s="13"/>
      <c r="B5" s="52"/>
      <c r="C5" s="53" t="b">
        <v>1</v>
      </c>
      <c r="D5" s="54" t="str">
        <f>IFS(C5=FALSE, "Session 1", C5=TRUE, "Session 1 Completed", TRUE, "")</f>
        <v>Session 1 Completed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6">
        <v>45575.46995782407</v>
      </c>
      <c r="T5" s="55"/>
      <c r="U5" s="23"/>
    </row>
    <row r="6" ht="30.0" customHeight="1">
      <c r="A6" s="13"/>
      <c r="B6" s="57"/>
      <c r="C6" s="58" t="s">
        <v>8</v>
      </c>
      <c r="D6" s="58"/>
      <c r="E6" s="59" t="s">
        <v>9</v>
      </c>
      <c r="F6" s="59" t="s">
        <v>10</v>
      </c>
      <c r="G6" s="60" t="s">
        <v>11</v>
      </c>
      <c r="H6" s="59" t="s">
        <v>12</v>
      </c>
      <c r="I6" s="59" t="s">
        <v>13</v>
      </c>
      <c r="J6" s="61"/>
      <c r="K6" s="61"/>
      <c r="L6" s="61"/>
      <c r="M6" s="61"/>
      <c r="N6" s="61"/>
      <c r="O6" s="61"/>
      <c r="P6" s="61"/>
      <c r="Q6" s="61"/>
      <c r="R6" s="61"/>
      <c r="S6" s="59" t="s">
        <v>15</v>
      </c>
      <c r="T6" s="59" t="s">
        <v>51</v>
      </c>
    </row>
    <row r="7" ht="26.25" customHeight="1">
      <c r="A7" s="13"/>
      <c r="B7" s="30" t="s">
        <v>17</v>
      </c>
      <c r="C7" s="62" t="str">
        <f>IF(D7&lt;&gt;"", HYPERLINK(VLOOKUP(D7, DATA!H:K, 4, FALSE), D7), "")</f>
        <v>Bicep Curl</v>
      </c>
      <c r="D7" s="33" t="s">
        <v>52</v>
      </c>
      <c r="E7" s="30">
        <v>4.0</v>
      </c>
      <c r="F7" s="63">
        <v>45453.0</v>
      </c>
      <c r="G7" s="38" t="s">
        <v>53</v>
      </c>
      <c r="H7" s="30" t="s">
        <v>54</v>
      </c>
      <c r="I7" s="41">
        <v>25.0</v>
      </c>
      <c r="J7" s="41">
        <v>30.0</v>
      </c>
      <c r="K7" s="41">
        <v>35.0</v>
      </c>
      <c r="L7" s="41">
        <v>35.0</v>
      </c>
      <c r="M7" s="41">
        <v>35.0</v>
      </c>
      <c r="N7" s="41"/>
      <c r="O7" s="41"/>
      <c r="P7" s="41"/>
      <c r="Q7" s="41"/>
      <c r="R7" s="41"/>
      <c r="S7" s="30"/>
      <c r="T7" s="30"/>
    </row>
    <row r="8" ht="26.25" customHeight="1">
      <c r="A8" s="13"/>
      <c r="B8" s="30" t="s">
        <v>17</v>
      </c>
      <c r="C8" s="62" t="str">
        <f>IF(D8&lt;&gt;"", HYPERLINK(VLOOKUP(D8, DATA!H:K, 4, FALSE), D8), "")</f>
        <v>Cable Overhead Triceps Extension</v>
      </c>
      <c r="D8" s="33" t="s">
        <v>55</v>
      </c>
      <c r="E8" s="30">
        <v>4.0</v>
      </c>
      <c r="F8" s="63">
        <v>45580.0</v>
      </c>
      <c r="G8" s="38" t="s">
        <v>53</v>
      </c>
      <c r="H8" s="30" t="s">
        <v>56</v>
      </c>
      <c r="I8" s="42">
        <v>50.0</v>
      </c>
      <c r="J8" s="42">
        <v>50.0</v>
      </c>
      <c r="K8" s="42">
        <v>60.0</v>
      </c>
      <c r="L8" s="42">
        <v>60.0</v>
      </c>
      <c r="M8" s="42">
        <v>70.0</v>
      </c>
      <c r="N8" s="42"/>
      <c r="O8" s="42"/>
      <c r="P8" s="42"/>
      <c r="Q8" s="42"/>
      <c r="R8" s="42"/>
      <c r="S8" s="30"/>
      <c r="T8" s="30"/>
    </row>
    <row r="9" ht="26.25" customHeight="1">
      <c r="A9" s="13"/>
      <c r="B9" s="30" t="s">
        <v>21</v>
      </c>
      <c r="C9" s="62" t="str">
        <f>IF(D9&lt;&gt;"", HYPERLINK(VLOOKUP(D9, DATA!H:K, 4, FALSE), D9), "")</f>
        <v>Close Grip Bench Press</v>
      </c>
      <c r="D9" s="33" t="s">
        <v>57</v>
      </c>
      <c r="E9" s="30">
        <v>4.0</v>
      </c>
      <c r="F9" s="63">
        <v>45451.0</v>
      </c>
      <c r="G9" s="38" t="s">
        <v>53</v>
      </c>
      <c r="H9" s="30" t="s">
        <v>54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31"/>
      <c r="T9" s="31"/>
    </row>
    <row r="10" ht="26.25" customHeight="1">
      <c r="A10" s="13"/>
      <c r="B10" s="30" t="s">
        <v>21</v>
      </c>
      <c r="C10" s="62" t="str">
        <f>IF(D10&lt;&gt;"", HYPERLINK(VLOOKUP(D10, DATA!H:K, 4, FALSE), D10), "")</f>
        <v>Barbell Bicep Curl</v>
      </c>
      <c r="D10" s="33" t="s">
        <v>58</v>
      </c>
      <c r="E10" s="30">
        <v>4.0</v>
      </c>
      <c r="F10" s="63">
        <v>45451.0</v>
      </c>
      <c r="G10" s="38" t="s">
        <v>53</v>
      </c>
      <c r="H10" s="30" t="s">
        <v>59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31"/>
      <c r="T10" s="31"/>
    </row>
    <row r="11" ht="11.25" customHeight="1">
      <c r="A11" s="13"/>
      <c r="B11" s="37"/>
      <c r="T11" s="37"/>
    </row>
    <row r="12" ht="11.25" customHeight="1">
      <c r="A12" s="13"/>
      <c r="B12" s="64"/>
      <c r="T12" s="64"/>
      <c r="U12" s="16"/>
    </row>
    <row r="13" ht="30.0" customHeight="1">
      <c r="A13" s="13"/>
      <c r="B13" s="52"/>
      <c r="C13" s="53" t="b">
        <v>1</v>
      </c>
      <c r="D13" s="54" t="str">
        <f>IFS(C13=FALSE, "Session 2", C13=TRUE, "Session 2 Completed", TRUE, "")</f>
        <v>Session 2 Completed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6">
        <v>45575.470247881945</v>
      </c>
      <c r="T13" s="55"/>
      <c r="U13" s="23"/>
    </row>
    <row r="14" ht="30.0" customHeight="1">
      <c r="A14" s="13"/>
      <c r="B14" s="57"/>
      <c r="C14" s="58" t="s">
        <v>8</v>
      </c>
      <c r="D14" s="58"/>
      <c r="E14" s="59" t="s">
        <v>9</v>
      </c>
      <c r="F14" s="59" t="s">
        <v>10</v>
      </c>
      <c r="G14" s="60" t="s">
        <v>11</v>
      </c>
      <c r="H14" s="59" t="s">
        <v>12</v>
      </c>
      <c r="I14" s="59" t="s">
        <v>13</v>
      </c>
      <c r="J14" s="61"/>
      <c r="K14" s="61"/>
      <c r="L14" s="61"/>
      <c r="M14" s="61"/>
      <c r="N14" s="61"/>
      <c r="O14" s="61"/>
      <c r="P14" s="61"/>
      <c r="Q14" s="61"/>
      <c r="R14" s="61"/>
      <c r="S14" s="59" t="s">
        <v>15</v>
      </c>
      <c r="T14" s="59" t="s">
        <v>51</v>
      </c>
    </row>
    <row r="15" ht="26.25" customHeight="1">
      <c r="A15" s="13"/>
      <c r="B15" s="30" t="s">
        <v>17</v>
      </c>
      <c r="C15" s="65" t="s">
        <v>60</v>
      </c>
      <c r="D15" s="33"/>
      <c r="E15" s="30">
        <v>4.0</v>
      </c>
      <c r="F15" s="38">
        <v>10.0</v>
      </c>
      <c r="G15" s="38" t="s">
        <v>53</v>
      </c>
      <c r="H15" s="30" t="s">
        <v>54</v>
      </c>
      <c r="I15" s="41">
        <v>35.0</v>
      </c>
      <c r="J15" s="41">
        <v>35.0</v>
      </c>
      <c r="K15" s="41">
        <v>40.0</v>
      </c>
      <c r="L15" s="41"/>
      <c r="M15" s="41"/>
      <c r="N15" s="41"/>
      <c r="O15" s="41"/>
      <c r="P15" s="41"/>
      <c r="Q15" s="41"/>
      <c r="R15" s="41"/>
      <c r="S15" s="31"/>
      <c r="T15" s="31"/>
    </row>
    <row r="16" ht="26.25" customHeight="1">
      <c r="A16" s="13"/>
      <c r="B16" s="30" t="s">
        <v>17</v>
      </c>
      <c r="C16" s="32" t="s">
        <v>61</v>
      </c>
      <c r="D16" s="33"/>
      <c r="E16" s="30">
        <v>4.0</v>
      </c>
      <c r="F16" s="38">
        <v>10.0</v>
      </c>
      <c r="G16" s="38" t="s">
        <v>53</v>
      </c>
      <c r="H16" s="30" t="s">
        <v>54</v>
      </c>
      <c r="I16" s="42">
        <v>10.0</v>
      </c>
      <c r="J16" s="42">
        <v>10.0</v>
      </c>
      <c r="K16" s="42">
        <v>15.0</v>
      </c>
      <c r="L16" s="42"/>
      <c r="M16" s="42"/>
      <c r="N16" s="42"/>
      <c r="O16" s="42"/>
      <c r="P16" s="42"/>
      <c r="Q16" s="42"/>
      <c r="R16" s="42"/>
      <c r="S16" s="31"/>
      <c r="T16" s="31"/>
    </row>
    <row r="17" ht="26.25" customHeight="1">
      <c r="A17" s="13"/>
      <c r="B17" s="30" t="s">
        <v>17</v>
      </c>
      <c r="C17" s="32" t="s">
        <v>62</v>
      </c>
      <c r="D17" s="33"/>
      <c r="E17" s="30">
        <v>4.0</v>
      </c>
      <c r="F17" s="38">
        <v>10.0</v>
      </c>
      <c r="G17" s="38" t="s">
        <v>53</v>
      </c>
      <c r="H17" s="30" t="s">
        <v>63</v>
      </c>
      <c r="I17" s="42">
        <v>10.0</v>
      </c>
      <c r="J17" s="42">
        <v>10.0</v>
      </c>
      <c r="K17" s="42">
        <v>15.0</v>
      </c>
      <c r="L17" s="42"/>
      <c r="M17" s="42"/>
      <c r="N17" s="42"/>
      <c r="O17" s="42"/>
      <c r="P17" s="42"/>
      <c r="Q17" s="42"/>
      <c r="R17" s="42"/>
      <c r="S17" s="31"/>
      <c r="T17" s="31"/>
    </row>
    <row r="18" ht="26.25" customHeight="1">
      <c r="A18" s="13"/>
      <c r="B18" s="30" t="s">
        <v>21</v>
      </c>
      <c r="C18" s="32" t="s">
        <v>64</v>
      </c>
      <c r="D18" s="33"/>
      <c r="E18" s="30">
        <v>4.0</v>
      </c>
      <c r="F18" s="38">
        <v>10.0</v>
      </c>
      <c r="G18" s="38" t="s">
        <v>53</v>
      </c>
      <c r="H18" s="30" t="s">
        <v>56</v>
      </c>
      <c r="I18" s="42">
        <v>40.0</v>
      </c>
      <c r="J18" s="42">
        <v>40.0</v>
      </c>
      <c r="K18" s="42">
        <v>45.0</v>
      </c>
      <c r="L18" s="42"/>
      <c r="M18" s="42"/>
      <c r="N18" s="42"/>
      <c r="O18" s="42"/>
      <c r="P18" s="42"/>
      <c r="Q18" s="42"/>
      <c r="R18" s="42"/>
      <c r="S18" s="31"/>
      <c r="T18" s="31"/>
    </row>
    <row r="19" ht="26.25" customHeight="1">
      <c r="A19" s="13"/>
      <c r="B19" s="30" t="s">
        <v>21</v>
      </c>
      <c r="C19" s="62" t="str">
        <f>IF(D19&lt;&gt;"", HYPERLINK(VLOOKUP(D19, DATA!H:K, 4, FALSE), D19), "")</f>
        <v>Barbell Bent Over Row</v>
      </c>
      <c r="D19" s="33" t="s">
        <v>65</v>
      </c>
      <c r="E19" s="30">
        <v>4.0</v>
      </c>
      <c r="F19" s="38">
        <v>10.0</v>
      </c>
      <c r="G19" s="38" t="s">
        <v>53</v>
      </c>
      <c r="H19" s="30" t="s">
        <v>56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31"/>
      <c r="T19" s="31"/>
    </row>
    <row r="20" ht="11.25" customHeight="1">
      <c r="A20" s="13"/>
      <c r="B20" s="37"/>
      <c r="T20" s="37"/>
    </row>
    <row r="21" ht="11.25" customHeight="1">
      <c r="A21" s="13"/>
      <c r="B21" s="16"/>
      <c r="T21" s="16"/>
      <c r="U21" s="16"/>
    </row>
    <row r="22" ht="30.0" customHeight="1">
      <c r="A22" s="13"/>
      <c r="B22" s="66"/>
      <c r="C22" s="67" t="b">
        <v>1</v>
      </c>
      <c r="D22" s="68" t="str">
        <f>IFS(C22=FALSE, "Session 3", C22=TRUE, "Session 3 Completed", TRUE, "")</f>
        <v>Session 3 Completed</v>
      </c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70">
        <v>45586.0</v>
      </c>
      <c r="T22" s="69"/>
      <c r="U22" s="23"/>
    </row>
    <row r="23" ht="30.0" customHeight="1">
      <c r="A23" s="13"/>
      <c r="B23" s="71"/>
      <c r="C23" s="72" t="s">
        <v>8</v>
      </c>
      <c r="D23" s="72"/>
      <c r="E23" s="73" t="s">
        <v>9</v>
      </c>
      <c r="F23" s="73" t="s">
        <v>10</v>
      </c>
      <c r="G23" s="74" t="s">
        <v>11</v>
      </c>
      <c r="H23" s="73" t="s">
        <v>12</v>
      </c>
      <c r="I23" s="73" t="s">
        <v>13</v>
      </c>
      <c r="J23" s="75"/>
      <c r="K23" s="75"/>
      <c r="L23" s="75"/>
      <c r="M23" s="75"/>
      <c r="N23" s="75"/>
      <c r="O23" s="75"/>
      <c r="P23" s="75"/>
      <c r="Q23" s="75"/>
      <c r="R23" s="75"/>
      <c r="S23" s="73" t="s">
        <v>15</v>
      </c>
      <c r="T23" s="73" t="s">
        <v>51</v>
      </c>
    </row>
    <row r="24" ht="26.25" customHeight="1">
      <c r="A24" s="13"/>
      <c r="B24" s="76" t="s">
        <v>17</v>
      </c>
      <c r="C24" s="77" t="str">
        <f>IF(D24&lt;&gt;"", HYPERLINK(VLOOKUP(D24, DATA!H:K, 4, FALSE), D24), "")</f>
        <v>Barbell Close Grip Bench Press</v>
      </c>
      <c r="D24" s="78" t="s">
        <v>66</v>
      </c>
      <c r="E24" s="76">
        <v>4.0</v>
      </c>
      <c r="F24" s="79">
        <v>10.0</v>
      </c>
      <c r="G24" s="79" t="s">
        <v>53</v>
      </c>
      <c r="H24" s="76" t="s">
        <v>54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31"/>
      <c r="T24" s="30" t="s">
        <v>67</v>
      </c>
    </row>
    <row r="25" ht="26.25" customHeight="1">
      <c r="A25" s="13"/>
      <c r="B25" s="30" t="s">
        <v>17</v>
      </c>
      <c r="C25" s="62" t="str">
        <f>IF(D25&lt;&gt;"", HYPERLINK(VLOOKUP(D25, DATA!H:K, 4, FALSE), D25), "")</f>
        <v>Bicep Curl</v>
      </c>
      <c r="D25" s="33" t="s">
        <v>52</v>
      </c>
      <c r="E25" s="30">
        <v>4.0</v>
      </c>
      <c r="F25" s="38">
        <v>10.0</v>
      </c>
      <c r="G25" s="38" t="s">
        <v>53</v>
      </c>
      <c r="H25" s="30" t="s">
        <v>59</v>
      </c>
      <c r="I25" s="42">
        <v>30.0</v>
      </c>
      <c r="J25" s="42">
        <v>35.0</v>
      </c>
      <c r="K25" s="42">
        <v>35.0</v>
      </c>
      <c r="L25" s="42">
        <v>35.0</v>
      </c>
      <c r="M25" s="42"/>
      <c r="N25" s="42"/>
      <c r="O25" s="42"/>
      <c r="P25" s="42"/>
      <c r="Q25" s="42"/>
      <c r="R25" s="42"/>
      <c r="S25" s="31"/>
      <c r="T25" s="31"/>
    </row>
    <row r="26" ht="26.25" customHeight="1">
      <c r="A26" s="13"/>
      <c r="B26" s="30" t="s">
        <v>21</v>
      </c>
      <c r="C26" s="62" t="str">
        <f>IF(D26&lt;&gt;"", HYPERLINK(VLOOKUP(D26, DATA!H:K, 4, FALSE), D26), "")</f>
        <v>Dips</v>
      </c>
      <c r="D26" s="33" t="s">
        <v>68</v>
      </c>
      <c r="E26" s="30">
        <v>4.0</v>
      </c>
      <c r="F26" s="38">
        <v>10.0</v>
      </c>
      <c r="G26" s="38" t="s">
        <v>53</v>
      </c>
      <c r="H26" s="30" t="s">
        <v>54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31"/>
      <c r="T26" s="31"/>
    </row>
    <row r="27" ht="26.25" customHeight="1">
      <c r="A27" s="13"/>
      <c r="B27" s="30" t="s">
        <v>21</v>
      </c>
      <c r="C27" s="62" t="str">
        <f>IF(D27&lt;&gt;"", HYPERLINK(VLOOKUP(D27, DATA!H:K, 4, FALSE), D27), "")</f>
        <v>Hammer Curl</v>
      </c>
      <c r="D27" s="33" t="s">
        <v>69</v>
      </c>
      <c r="E27" s="30">
        <v>4.0</v>
      </c>
      <c r="F27" s="38">
        <v>10.0</v>
      </c>
      <c r="G27" s="38" t="s">
        <v>53</v>
      </c>
      <c r="H27" s="30" t="s">
        <v>59</v>
      </c>
      <c r="I27" s="42">
        <v>30.0</v>
      </c>
      <c r="J27" s="42">
        <v>35.0</v>
      </c>
      <c r="K27" s="42">
        <v>35.0</v>
      </c>
      <c r="L27" s="42">
        <v>35.0</v>
      </c>
      <c r="M27" s="42"/>
      <c r="N27" s="42"/>
      <c r="O27" s="42"/>
      <c r="P27" s="42"/>
      <c r="Q27" s="42"/>
      <c r="R27" s="42"/>
      <c r="S27" s="31"/>
      <c r="T27" s="31"/>
    </row>
    <row r="28" ht="26.25" customHeight="1">
      <c r="A28" s="13"/>
      <c r="B28" s="30"/>
      <c r="C28" s="32"/>
      <c r="D28" s="33"/>
      <c r="E28" s="30"/>
      <c r="F28" s="38"/>
      <c r="G28" s="38"/>
      <c r="H28" s="30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31"/>
      <c r="T28" s="31"/>
    </row>
    <row r="29" ht="26.25" customHeight="1">
      <c r="A29" s="13"/>
      <c r="B29" s="35"/>
      <c r="C29" s="32" t="str">
        <f>IF(D29&lt;&gt;"", HYPERLINK(VLOOKUP(D29, DATA!H:K, 4, FALSE), D29), "")</f>
        <v/>
      </c>
      <c r="D29" s="33"/>
      <c r="E29" s="30"/>
      <c r="F29" s="27"/>
      <c r="G29" s="38"/>
      <c r="H29" s="30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31"/>
      <c r="T29" s="31"/>
    </row>
    <row r="30" ht="26.25" customHeight="1">
      <c r="A30" s="13"/>
      <c r="B30" s="36"/>
      <c r="C30" s="32" t="str">
        <f>IF(D30&lt;&gt;"", HYPERLINK(VLOOKUP(D30, DATA!H:K, 4, FALSE), D30), "")</f>
        <v/>
      </c>
      <c r="D30" s="33"/>
      <c r="E30" s="30"/>
      <c r="F30" s="27"/>
      <c r="G30" s="38"/>
      <c r="H30" s="30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31"/>
      <c r="T30" s="31"/>
    </row>
    <row r="31" ht="26.25" customHeight="1">
      <c r="A31" s="13"/>
      <c r="B31" s="31"/>
      <c r="C31" s="32" t="str">
        <f>IF(D31&lt;&gt;"", HYPERLINK(VLOOKUP(D31, DATA!H:K, 4, FALSE), D31), "")</f>
        <v/>
      </c>
      <c r="D31" s="33"/>
      <c r="E31" s="30"/>
      <c r="F31" s="27"/>
      <c r="G31" s="38"/>
      <c r="H31" s="30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31"/>
      <c r="T31" s="31"/>
    </row>
    <row r="32" ht="11.25" customHeight="1">
      <c r="A32" s="13"/>
      <c r="B32" s="37"/>
      <c r="T32" s="37"/>
    </row>
    <row r="33" ht="11.25" customHeight="1">
      <c r="A33" s="13"/>
      <c r="B33" s="39"/>
      <c r="T33" s="39"/>
      <c r="U33" s="16"/>
    </row>
    <row r="34" ht="30.0" customHeight="1">
      <c r="A34" s="13"/>
      <c r="B34" s="66"/>
      <c r="C34" s="67" t="b">
        <v>1</v>
      </c>
      <c r="D34" s="68" t="str">
        <f>IFS(C34=FALSE, "Session 4", C34=TRUE, "Session 4 Completed", TRUE, "")</f>
        <v>Session 4 Completed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70">
        <v>45587.0</v>
      </c>
      <c r="T34" s="69"/>
      <c r="U34" s="23"/>
    </row>
    <row r="35" ht="30.0" customHeight="1">
      <c r="A35" s="13"/>
      <c r="B35" s="71"/>
      <c r="C35" s="72" t="s">
        <v>8</v>
      </c>
      <c r="D35" s="72"/>
      <c r="E35" s="73" t="s">
        <v>9</v>
      </c>
      <c r="F35" s="73" t="s">
        <v>10</v>
      </c>
      <c r="G35" s="74" t="s">
        <v>11</v>
      </c>
      <c r="H35" s="73" t="s">
        <v>12</v>
      </c>
      <c r="I35" s="73" t="s">
        <v>13</v>
      </c>
      <c r="J35" s="75"/>
      <c r="K35" s="75"/>
      <c r="L35" s="75"/>
      <c r="M35" s="75"/>
      <c r="N35" s="75"/>
      <c r="O35" s="75"/>
      <c r="P35" s="75"/>
      <c r="Q35" s="75"/>
      <c r="R35" s="75"/>
      <c r="S35" s="73" t="s">
        <v>15</v>
      </c>
      <c r="T35" s="73" t="s">
        <v>51</v>
      </c>
    </row>
    <row r="36" ht="26.25" customHeight="1">
      <c r="A36" s="13"/>
      <c r="B36" s="30" t="s">
        <v>17</v>
      </c>
      <c r="C36" s="32" t="s">
        <v>70</v>
      </c>
      <c r="D36" s="33"/>
      <c r="E36" s="30">
        <v>10.0</v>
      </c>
      <c r="F36" s="38" t="s">
        <v>71</v>
      </c>
      <c r="G36" s="38" t="s">
        <v>53</v>
      </c>
      <c r="H36" s="30" t="s">
        <v>56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31"/>
      <c r="T36" s="31"/>
    </row>
    <row r="37" ht="26.25" customHeight="1">
      <c r="A37" s="13"/>
      <c r="B37" s="30"/>
      <c r="C37" s="32" t="str">
        <f>IF(D37&lt;&gt;"", HYPERLINK(VLOOKUP(D37, DATA!H:K, 4, FALSE), D37), "")</f>
        <v/>
      </c>
      <c r="D37" s="33"/>
      <c r="E37" s="30"/>
      <c r="F37" s="27"/>
      <c r="G37" s="38"/>
      <c r="H37" s="30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31"/>
      <c r="T37" s="31"/>
    </row>
    <row r="38" ht="26.25" customHeight="1">
      <c r="A38" s="13"/>
      <c r="B38" s="30"/>
      <c r="C38" s="32" t="str">
        <f>IF(D38&lt;&gt;"", HYPERLINK(VLOOKUP(D38, DATA!H:K, 4, FALSE), D38), "")</f>
        <v/>
      </c>
      <c r="D38" s="33"/>
      <c r="E38" s="30"/>
      <c r="F38" s="27"/>
      <c r="G38" s="38"/>
      <c r="H38" s="30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31"/>
      <c r="T38" s="31"/>
    </row>
    <row r="39" ht="26.25" customHeight="1">
      <c r="A39" s="13"/>
      <c r="B39" s="30"/>
      <c r="C39" s="32" t="str">
        <f>IF(D39&lt;&gt;"", HYPERLINK(VLOOKUP(D39, DATA!H:K, 4, FALSE), D39), "")</f>
        <v/>
      </c>
      <c r="D39" s="33"/>
      <c r="E39" s="30"/>
      <c r="F39" s="27"/>
      <c r="G39" s="38"/>
      <c r="H39" s="30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31"/>
      <c r="T39" s="31"/>
    </row>
    <row r="40" ht="26.25" customHeight="1">
      <c r="A40" s="13"/>
      <c r="B40" s="30"/>
      <c r="C40" s="32" t="str">
        <f>IF(D40&lt;&gt;"", HYPERLINK(VLOOKUP(D40, DATA!H:K, 4, FALSE), D40), "")</f>
        <v/>
      </c>
      <c r="D40" s="33"/>
      <c r="E40" s="30"/>
      <c r="F40" s="27"/>
      <c r="G40" s="38"/>
      <c r="H40" s="30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31"/>
      <c r="T40" s="31"/>
    </row>
    <row r="41" ht="26.25" customHeight="1">
      <c r="A41" s="13"/>
      <c r="B41" s="35"/>
      <c r="C41" s="32" t="str">
        <f>IF(D41&lt;&gt;"", HYPERLINK(VLOOKUP(D41, DATA!H:K, 4, FALSE), D41), "")</f>
        <v/>
      </c>
      <c r="D41" s="33"/>
      <c r="E41" s="30"/>
      <c r="F41" s="27"/>
      <c r="G41" s="38"/>
      <c r="H41" s="30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31"/>
      <c r="T41" s="31"/>
    </row>
    <row r="42" ht="26.25" customHeight="1">
      <c r="A42" s="13"/>
      <c r="B42" s="36"/>
      <c r="C42" s="32" t="str">
        <f>IF(D42&lt;&gt;"", HYPERLINK(VLOOKUP(D42, DATA!H:K, 4, FALSE), D42), "")</f>
        <v/>
      </c>
      <c r="D42" s="33"/>
      <c r="E42" s="30"/>
      <c r="F42" s="27"/>
      <c r="G42" s="38"/>
      <c r="H42" s="30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31"/>
      <c r="T42" s="31"/>
    </row>
    <row r="43" ht="26.25" customHeight="1">
      <c r="A43" s="13"/>
      <c r="B43" s="31"/>
      <c r="C43" s="32" t="str">
        <f>IF(D43&lt;&gt;"", HYPERLINK(VLOOKUP(D43, DATA!H:K, 4, FALSE), D43), "")</f>
        <v/>
      </c>
      <c r="D43" s="33"/>
      <c r="E43" s="30"/>
      <c r="F43" s="27"/>
      <c r="G43" s="38"/>
      <c r="H43" s="30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31"/>
      <c r="T43" s="31"/>
    </row>
    <row r="44" ht="11.25" customHeight="1">
      <c r="A44" s="13"/>
      <c r="B44" s="37"/>
      <c r="T44" s="37"/>
    </row>
    <row r="45" ht="11.25" customHeight="1">
      <c r="A45" s="13"/>
      <c r="B45" s="39"/>
      <c r="T45" s="39"/>
      <c r="U45" s="16"/>
    </row>
    <row r="46" ht="30.0" customHeight="1">
      <c r="A46" s="13"/>
      <c r="B46" s="66"/>
      <c r="C46" s="67" t="b">
        <v>0</v>
      </c>
      <c r="D46" s="68" t="str">
        <f>IFS(C46=FALSE, "Session 5", C46=TRUE, "Session 5 Completed", TRUE, "")</f>
        <v>Session 5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70"/>
      <c r="T46" s="69"/>
      <c r="U46" s="23"/>
    </row>
    <row r="47" ht="30.0" customHeight="1">
      <c r="A47" s="13"/>
      <c r="B47" s="71"/>
      <c r="C47" s="72" t="s">
        <v>8</v>
      </c>
      <c r="D47" s="72"/>
      <c r="E47" s="73" t="s">
        <v>9</v>
      </c>
      <c r="F47" s="73" t="s">
        <v>10</v>
      </c>
      <c r="G47" s="74" t="s">
        <v>11</v>
      </c>
      <c r="H47" s="73" t="s">
        <v>12</v>
      </c>
      <c r="I47" s="73" t="s">
        <v>13</v>
      </c>
      <c r="J47" s="75"/>
      <c r="K47" s="75"/>
      <c r="L47" s="75"/>
      <c r="M47" s="75"/>
      <c r="N47" s="75"/>
      <c r="O47" s="75"/>
      <c r="P47" s="75"/>
      <c r="Q47" s="75"/>
      <c r="R47" s="75"/>
      <c r="S47" s="73" t="s">
        <v>15</v>
      </c>
      <c r="T47" s="73" t="s">
        <v>51</v>
      </c>
    </row>
    <row r="48" ht="26.25" customHeight="1">
      <c r="A48" s="13"/>
      <c r="B48" s="30"/>
      <c r="C48" s="32" t="str">
        <f>IF(D48&lt;&gt;"", HYPERLINK(VLOOKUP(D48, DATA!H:K, 4, FALSE), D48), "")</f>
        <v/>
      </c>
      <c r="D48" s="33"/>
      <c r="E48" s="30"/>
      <c r="F48" s="27"/>
      <c r="G48" s="38"/>
      <c r="H48" s="30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31"/>
      <c r="T48" s="31"/>
    </row>
    <row r="49" ht="26.25" customHeight="1">
      <c r="A49" s="13"/>
      <c r="B49" s="30"/>
      <c r="C49" s="32" t="str">
        <f>IF(D49&lt;&gt;"", HYPERLINK(VLOOKUP(D49, DATA!H:K, 4, FALSE), D49), "")</f>
        <v/>
      </c>
      <c r="D49" s="33"/>
      <c r="E49" s="30"/>
      <c r="F49" s="27"/>
      <c r="G49" s="38"/>
      <c r="H49" s="30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31"/>
      <c r="T49" s="31"/>
    </row>
    <row r="50" ht="26.25" customHeight="1">
      <c r="A50" s="13"/>
      <c r="B50" s="30"/>
      <c r="C50" s="32" t="str">
        <f>IF(D50&lt;&gt;"", HYPERLINK(VLOOKUP(D50, DATA!H:K, 4, FALSE), D50), "")</f>
        <v/>
      </c>
      <c r="D50" s="33"/>
      <c r="E50" s="30"/>
      <c r="F50" s="27"/>
      <c r="G50" s="38"/>
      <c r="H50" s="30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31"/>
      <c r="T50" s="31"/>
    </row>
    <row r="51" ht="26.25" customHeight="1">
      <c r="A51" s="13"/>
      <c r="B51" s="30"/>
      <c r="C51" s="32" t="str">
        <f>IF(D51&lt;&gt;"", HYPERLINK(VLOOKUP(D51, DATA!H:K, 4, FALSE), D51), "")</f>
        <v/>
      </c>
      <c r="D51" s="33"/>
      <c r="E51" s="30"/>
      <c r="F51" s="27"/>
      <c r="G51" s="38"/>
      <c r="H51" s="30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31"/>
      <c r="T51" s="31"/>
    </row>
    <row r="52" ht="26.25" customHeight="1">
      <c r="A52" s="13"/>
      <c r="B52" s="30"/>
      <c r="C52" s="32" t="str">
        <f>IF(D52&lt;&gt;"", HYPERLINK(VLOOKUP(D52, DATA!H:K, 4, FALSE), D52), "")</f>
        <v/>
      </c>
      <c r="D52" s="33"/>
      <c r="E52" s="30"/>
      <c r="F52" s="27"/>
      <c r="G52" s="38"/>
      <c r="H52" s="30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31"/>
      <c r="T52" s="31"/>
    </row>
    <row r="53" ht="26.25" customHeight="1">
      <c r="A53" s="13"/>
      <c r="B53" s="35"/>
      <c r="C53" s="32" t="str">
        <f>IF(D53&lt;&gt;"", HYPERLINK(VLOOKUP(D53, DATA!H:K, 4, FALSE), D53), "")</f>
        <v/>
      </c>
      <c r="D53" s="33"/>
      <c r="E53" s="30"/>
      <c r="F53" s="27"/>
      <c r="G53" s="38"/>
      <c r="H53" s="30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31"/>
      <c r="T53" s="31"/>
    </row>
    <row r="54" ht="26.25" customHeight="1">
      <c r="A54" s="13"/>
      <c r="B54" s="36"/>
      <c r="C54" s="32" t="str">
        <f>IF(D54&lt;&gt;"", HYPERLINK(VLOOKUP(D54, DATA!H:K, 4, FALSE), D54), "")</f>
        <v/>
      </c>
      <c r="D54" s="33"/>
      <c r="E54" s="30"/>
      <c r="F54" s="27"/>
      <c r="G54" s="38"/>
      <c r="H54" s="30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31"/>
      <c r="T54" s="31"/>
    </row>
    <row r="55" ht="26.25" customHeight="1">
      <c r="A55" s="13"/>
      <c r="B55" s="31"/>
      <c r="C55" s="32" t="str">
        <f>IF(D55&lt;&gt;"", HYPERLINK(VLOOKUP(D55, DATA!H:K, 4, FALSE), D55), "")</f>
        <v/>
      </c>
      <c r="D55" s="33"/>
      <c r="E55" s="30"/>
      <c r="F55" s="27"/>
      <c r="G55" s="38"/>
      <c r="H55" s="30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31"/>
      <c r="T55" s="31"/>
    </row>
    <row r="56" ht="11.25" customHeight="1">
      <c r="A56" s="13"/>
      <c r="B56" s="37"/>
      <c r="T56" s="37"/>
    </row>
    <row r="57" ht="11.25" customHeight="1">
      <c r="A57" s="13"/>
      <c r="B57" s="39"/>
      <c r="T57" s="39"/>
      <c r="U57" s="16"/>
    </row>
    <row r="58" ht="30.0" customHeight="1">
      <c r="A58" s="13"/>
      <c r="B58" s="66"/>
      <c r="C58" s="67" t="b">
        <v>0</v>
      </c>
      <c r="D58" s="68" t="str">
        <f>IFS(C58=FALSE, "Session 6", C58=TRUE, "Session 6 Completed", TRUE, "")</f>
        <v>Session 6</v>
      </c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70"/>
      <c r="T58" s="69"/>
      <c r="U58" s="23"/>
    </row>
    <row r="59" ht="30.0" customHeight="1">
      <c r="A59" s="13"/>
      <c r="B59" s="71"/>
      <c r="C59" s="72" t="s">
        <v>8</v>
      </c>
      <c r="D59" s="72"/>
      <c r="E59" s="73" t="s">
        <v>9</v>
      </c>
      <c r="F59" s="73" t="s">
        <v>10</v>
      </c>
      <c r="G59" s="74" t="s">
        <v>11</v>
      </c>
      <c r="H59" s="73" t="s">
        <v>12</v>
      </c>
      <c r="I59" s="73" t="s">
        <v>13</v>
      </c>
      <c r="J59" s="75"/>
      <c r="K59" s="75"/>
      <c r="L59" s="75"/>
      <c r="M59" s="75"/>
      <c r="N59" s="75"/>
      <c r="O59" s="75"/>
      <c r="P59" s="75"/>
      <c r="Q59" s="75"/>
      <c r="R59" s="75"/>
      <c r="S59" s="73" t="s">
        <v>15</v>
      </c>
      <c r="T59" s="73" t="s">
        <v>51</v>
      </c>
    </row>
    <row r="60" ht="26.25" customHeight="1">
      <c r="A60" s="13"/>
      <c r="B60" s="30"/>
      <c r="C60" s="32" t="str">
        <f>IF(D60&lt;&gt;"", HYPERLINK(VLOOKUP(D60, DATA!H:K, 4, FALSE), D60), "")</f>
        <v/>
      </c>
      <c r="D60" s="33"/>
      <c r="E60" s="30"/>
      <c r="F60" s="27"/>
      <c r="G60" s="38"/>
      <c r="H60" s="30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31"/>
      <c r="T60" s="31"/>
    </row>
    <row r="61" ht="26.25" customHeight="1">
      <c r="A61" s="13"/>
      <c r="B61" s="30"/>
      <c r="C61" s="32" t="str">
        <f>IF(D61&lt;&gt;"", HYPERLINK(VLOOKUP(D61, DATA!H:K, 4, FALSE), D61), "")</f>
        <v/>
      </c>
      <c r="D61" s="33"/>
      <c r="E61" s="30"/>
      <c r="F61" s="27"/>
      <c r="G61" s="38"/>
      <c r="H61" s="30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31"/>
      <c r="T61" s="31"/>
    </row>
    <row r="62" ht="26.25" customHeight="1">
      <c r="A62" s="13"/>
      <c r="B62" s="30"/>
      <c r="C62" s="32" t="str">
        <f>IF(D62&lt;&gt;"", HYPERLINK(VLOOKUP(D62, DATA!H:K, 4, FALSE), D62), "")</f>
        <v/>
      </c>
      <c r="D62" s="33"/>
      <c r="E62" s="30"/>
      <c r="F62" s="27"/>
      <c r="G62" s="38"/>
      <c r="H62" s="30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31"/>
      <c r="T62" s="31"/>
    </row>
    <row r="63" ht="26.25" customHeight="1">
      <c r="A63" s="13"/>
      <c r="B63" s="30"/>
      <c r="C63" s="32" t="str">
        <f>IF(D63&lt;&gt;"", HYPERLINK(VLOOKUP(D63, DATA!H:K, 4, FALSE), D63), "")</f>
        <v/>
      </c>
      <c r="D63" s="33"/>
      <c r="E63" s="30"/>
      <c r="F63" s="27"/>
      <c r="G63" s="38"/>
      <c r="H63" s="30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31"/>
      <c r="T63" s="31"/>
    </row>
    <row r="64" ht="26.25" customHeight="1">
      <c r="A64" s="13"/>
      <c r="B64" s="30"/>
      <c r="C64" s="32" t="str">
        <f>IF(D64&lt;&gt;"", HYPERLINK(VLOOKUP(D64, DATA!H:K, 4, FALSE), D64), "")</f>
        <v/>
      </c>
      <c r="D64" s="33"/>
      <c r="E64" s="30"/>
      <c r="F64" s="27"/>
      <c r="G64" s="38"/>
      <c r="H64" s="30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31"/>
      <c r="T64" s="31"/>
    </row>
    <row r="65" ht="26.25" customHeight="1">
      <c r="A65" s="13"/>
      <c r="B65" s="35"/>
      <c r="C65" s="32" t="str">
        <f>IF(D65&lt;&gt;"", HYPERLINK(VLOOKUP(D65, DATA!H:K, 4, FALSE), D65), "")</f>
        <v/>
      </c>
      <c r="D65" s="33"/>
      <c r="E65" s="30"/>
      <c r="F65" s="27"/>
      <c r="G65" s="38"/>
      <c r="H65" s="30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31"/>
      <c r="T65" s="31"/>
    </row>
    <row r="66" ht="26.25" customHeight="1">
      <c r="A66" s="13"/>
      <c r="B66" s="36"/>
      <c r="C66" s="32" t="str">
        <f>IF(D66&lt;&gt;"", HYPERLINK(VLOOKUP(D66, DATA!H:K, 4, FALSE), D66), "")</f>
        <v/>
      </c>
      <c r="D66" s="33"/>
      <c r="E66" s="30"/>
      <c r="F66" s="27"/>
      <c r="G66" s="38"/>
      <c r="H66" s="30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31"/>
      <c r="T66" s="31"/>
    </row>
    <row r="67" ht="26.25" customHeight="1">
      <c r="A67" s="13"/>
      <c r="B67" s="31"/>
      <c r="C67" s="32" t="str">
        <f>IF(D67&lt;&gt;"", HYPERLINK(VLOOKUP(D67, DATA!H:K, 4, FALSE), D67), "")</f>
        <v/>
      </c>
      <c r="D67" s="33"/>
      <c r="E67" s="30"/>
      <c r="F67" s="27"/>
      <c r="G67" s="38"/>
      <c r="H67" s="30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31"/>
      <c r="T67" s="31"/>
    </row>
    <row r="68" ht="11.25" customHeight="1">
      <c r="A68" s="13"/>
      <c r="B68" s="37"/>
      <c r="T68" s="37"/>
    </row>
    <row r="69" ht="45.0" customHeight="1">
      <c r="A69" s="13"/>
      <c r="B69" s="14" t="s">
        <v>4</v>
      </c>
      <c r="U69" s="13"/>
    </row>
    <row r="70" ht="30.0" customHeight="1">
      <c r="A70" s="13"/>
      <c r="B70" s="66"/>
      <c r="C70" s="67" t="b">
        <v>1</v>
      </c>
      <c r="D70" s="68" t="str">
        <f>IFS(C70=FALSE, "Session 1", C70=TRUE, "Session 1 Completed", TRUE, "")</f>
        <v>Session 1 Completed</v>
      </c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70">
        <v>45595.0</v>
      </c>
      <c r="T70" s="69"/>
      <c r="U70" s="23"/>
    </row>
    <row r="71" ht="30.0" customHeight="1">
      <c r="A71" s="13"/>
      <c r="B71" s="71"/>
      <c r="C71" s="72" t="s">
        <v>8</v>
      </c>
      <c r="D71" s="72"/>
      <c r="E71" s="73" t="s">
        <v>9</v>
      </c>
      <c r="F71" s="73" t="s">
        <v>10</v>
      </c>
      <c r="G71" s="74" t="s">
        <v>11</v>
      </c>
      <c r="H71" s="73" t="s">
        <v>12</v>
      </c>
      <c r="I71" s="73" t="s">
        <v>13</v>
      </c>
      <c r="J71" s="75"/>
      <c r="K71" s="75"/>
      <c r="L71" s="75"/>
      <c r="M71" s="75"/>
      <c r="N71" s="75"/>
      <c r="O71" s="75"/>
      <c r="P71" s="75"/>
      <c r="Q71" s="75"/>
      <c r="R71" s="75"/>
      <c r="S71" s="73" t="s">
        <v>15</v>
      </c>
      <c r="T71" s="73" t="s">
        <v>51</v>
      </c>
    </row>
    <row r="72" ht="26.25" customHeight="1">
      <c r="A72" s="13"/>
      <c r="B72" s="30" t="s">
        <v>17</v>
      </c>
      <c r="C72" s="62" t="str">
        <f>IF(D72&lt;&gt;"", HYPERLINK(VLOOKUP(D72, DATA!H:K, 4, FALSE), D72), "")</f>
        <v>Barbell Bench Press</v>
      </c>
      <c r="D72" s="33" t="s">
        <v>72</v>
      </c>
      <c r="E72" s="30">
        <v>5.0</v>
      </c>
      <c r="F72" s="63">
        <v>45451.0</v>
      </c>
      <c r="G72" s="38"/>
      <c r="H72" s="30" t="s">
        <v>73</v>
      </c>
      <c r="I72" s="41">
        <v>45.0</v>
      </c>
      <c r="J72" s="41">
        <v>50.0</v>
      </c>
      <c r="K72" s="41">
        <v>50.0</v>
      </c>
      <c r="L72" s="41">
        <v>50.0</v>
      </c>
      <c r="M72" s="41">
        <v>50.0</v>
      </c>
      <c r="N72" s="41"/>
      <c r="O72" s="41"/>
      <c r="P72" s="41"/>
      <c r="Q72" s="41"/>
      <c r="R72" s="41"/>
      <c r="S72" s="30" t="s">
        <v>74</v>
      </c>
      <c r="T72" s="31"/>
    </row>
    <row r="73" ht="26.25" customHeight="1">
      <c r="A73" s="13"/>
      <c r="B73" s="30" t="s">
        <v>17</v>
      </c>
      <c r="C73" s="62" t="str">
        <f>IF(D73&lt;&gt;"", HYPERLINK(VLOOKUP(D73, DATA!H:K, 4, FALSE), D73), "")</f>
        <v>Pull Ups</v>
      </c>
      <c r="D73" s="33" t="s">
        <v>75</v>
      </c>
      <c r="E73" s="30">
        <v>5.0</v>
      </c>
      <c r="F73" s="38" t="s">
        <v>71</v>
      </c>
      <c r="G73" s="38"/>
      <c r="H73" s="30" t="s">
        <v>76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30" t="s">
        <v>77</v>
      </c>
      <c r="T73" s="31"/>
    </row>
    <row r="74" ht="26.25" customHeight="1">
      <c r="A74" s="13"/>
      <c r="B74" s="30" t="s">
        <v>21</v>
      </c>
      <c r="C74" s="32" t="str">
        <f>IF(D74&lt;&gt;"", HYPERLINK(VLOOKUP(D74, DATA!H:K, 4, FALSE), D74), "")</f>
        <v>#N/A</v>
      </c>
      <c r="D74" s="33" t="s">
        <v>78</v>
      </c>
      <c r="E74" s="30">
        <v>4.0</v>
      </c>
      <c r="F74" s="38">
        <v>12.0</v>
      </c>
      <c r="G74" s="38"/>
      <c r="H74" s="30" t="s">
        <v>79</v>
      </c>
      <c r="I74" s="42">
        <v>30.0</v>
      </c>
      <c r="J74" s="42">
        <v>30.0</v>
      </c>
      <c r="K74" s="42">
        <v>30.0</v>
      </c>
      <c r="L74" s="42">
        <v>30.0</v>
      </c>
      <c r="M74" s="42"/>
      <c r="N74" s="42"/>
      <c r="O74" s="42"/>
      <c r="P74" s="42"/>
      <c r="Q74" s="42"/>
      <c r="R74" s="42"/>
      <c r="S74" s="31"/>
      <c r="T74" s="31"/>
    </row>
    <row r="75" ht="26.25" customHeight="1">
      <c r="A75" s="80"/>
      <c r="B75" s="76" t="s">
        <v>21</v>
      </c>
      <c r="C75" s="77" t="str">
        <f>IF(D75&lt;&gt;"", HYPERLINK(VLOOKUP(D75, DATA!H:K, 4, FALSE), D75), "")</f>
        <v>Bent Over Reverse Flyes</v>
      </c>
      <c r="D75" s="78" t="s">
        <v>80</v>
      </c>
      <c r="E75" s="76">
        <v>4.0</v>
      </c>
      <c r="F75" s="79">
        <v>12.0</v>
      </c>
      <c r="G75" s="79"/>
      <c r="H75" s="76" t="s">
        <v>59</v>
      </c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30" t="s">
        <v>81</v>
      </c>
      <c r="T75" s="31"/>
    </row>
    <row r="76" ht="26.25" customHeight="1">
      <c r="A76" s="13"/>
      <c r="B76" s="76" t="s">
        <v>26</v>
      </c>
      <c r="C76" s="77" t="str">
        <f>IF(D76&lt;&gt;"", HYPERLINK(VLOOKUP(D76, DATA!H:K, 4, FALSE), D76), "")</f>
        <v>Push ups</v>
      </c>
      <c r="D76" s="78" t="s">
        <v>82</v>
      </c>
      <c r="E76" s="76">
        <v>3.0</v>
      </c>
      <c r="F76" s="79" t="s">
        <v>71</v>
      </c>
      <c r="G76" s="79"/>
      <c r="H76" s="76" t="s">
        <v>63</v>
      </c>
      <c r="I76" s="81"/>
      <c r="J76" s="81"/>
      <c r="K76" s="81"/>
      <c r="L76" s="81"/>
      <c r="M76" s="81"/>
      <c r="N76" s="42"/>
      <c r="O76" s="42"/>
      <c r="P76" s="42"/>
      <c r="Q76" s="42"/>
      <c r="R76" s="42"/>
      <c r="S76" s="30" t="s">
        <v>83</v>
      </c>
      <c r="T76" s="31"/>
    </row>
    <row r="77" ht="26.25" customHeight="1">
      <c r="A77" s="13"/>
      <c r="B77" s="35"/>
      <c r="C77" s="32" t="str">
        <f>IF(D77&lt;&gt;"", HYPERLINK(VLOOKUP(D77, DATA!H:K, 4, FALSE), D77), "")</f>
        <v/>
      </c>
      <c r="D77" s="33"/>
      <c r="E77" s="30"/>
      <c r="F77" s="27"/>
      <c r="G77" s="38"/>
      <c r="H77" s="30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31"/>
      <c r="T77" s="31"/>
    </row>
    <row r="78" ht="26.25" customHeight="1">
      <c r="A78" s="13"/>
      <c r="B78" s="36"/>
      <c r="C78" s="32" t="str">
        <f>IF(D78&lt;&gt;"", HYPERLINK(VLOOKUP(D78, DATA!H:K, 4, FALSE), D78), "")</f>
        <v/>
      </c>
      <c r="D78" s="33"/>
      <c r="E78" s="30"/>
      <c r="F78" s="27"/>
      <c r="G78" s="38"/>
      <c r="H78" s="30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31"/>
      <c r="T78" s="31"/>
    </row>
    <row r="79" ht="26.25" customHeight="1">
      <c r="A79" s="13"/>
      <c r="B79" s="31"/>
      <c r="C79" s="32" t="str">
        <f>IF(D79&lt;&gt;"", HYPERLINK(VLOOKUP(D79, DATA!H:K, 4, FALSE), D79), "")</f>
        <v/>
      </c>
      <c r="D79" s="33"/>
      <c r="E79" s="30"/>
      <c r="F79" s="27"/>
      <c r="G79" s="38"/>
      <c r="H79" s="30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31"/>
      <c r="T79" s="31"/>
    </row>
    <row r="80" ht="11.25" customHeight="1">
      <c r="A80" s="13"/>
      <c r="B80" s="37"/>
      <c r="T80" s="37"/>
    </row>
    <row r="81" ht="11.25" customHeight="1">
      <c r="A81" s="13"/>
      <c r="B81" s="39"/>
      <c r="T81" s="39"/>
      <c r="U81" s="16"/>
    </row>
    <row r="82" ht="30.0" customHeight="1">
      <c r="A82" s="13"/>
      <c r="B82" s="66"/>
      <c r="C82" s="67" t="b">
        <v>1</v>
      </c>
      <c r="D82" s="68" t="str">
        <f>IFS(C82=FALSE, "Session 2", C82=TRUE, "Session 2 Completed", TRUE, "")</f>
        <v>Session 2 Completed</v>
      </c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70">
        <v>45597.0</v>
      </c>
      <c r="T82" s="69"/>
      <c r="U82" s="23"/>
    </row>
    <row r="83" ht="30.0" customHeight="1">
      <c r="A83" s="13"/>
      <c r="B83" s="71"/>
      <c r="C83" s="72" t="s">
        <v>8</v>
      </c>
      <c r="D83" s="72"/>
      <c r="E83" s="73" t="s">
        <v>9</v>
      </c>
      <c r="F83" s="73" t="s">
        <v>10</v>
      </c>
      <c r="G83" s="74" t="s">
        <v>11</v>
      </c>
      <c r="H83" s="73" t="s">
        <v>12</v>
      </c>
      <c r="I83" s="73" t="s">
        <v>13</v>
      </c>
      <c r="J83" s="75"/>
      <c r="K83" s="75"/>
      <c r="L83" s="75"/>
      <c r="M83" s="75"/>
      <c r="N83" s="75"/>
      <c r="O83" s="75"/>
      <c r="P83" s="75"/>
      <c r="Q83" s="75"/>
      <c r="R83" s="75"/>
      <c r="S83" s="73" t="s">
        <v>15</v>
      </c>
      <c r="T83" s="73" t="s">
        <v>51</v>
      </c>
    </row>
    <row r="84" ht="26.25" customHeight="1">
      <c r="A84" s="13"/>
      <c r="B84" s="30" t="s">
        <v>17</v>
      </c>
      <c r="C84" s="32" t="s">
        <v>84</v>
      </c>
      <c r="D84" s="33"/>
      <c r="E84" s="30">
        <v>3.0</v>
      </c>
      <c r="F84" s="38">
        <v>10.0</v>
      </c>
      <c r="G84" s="38"/>
      <c r="H84" s="30"/>
      <c r="I84" s="41">
        <v>30.0</v>
      </c>
      <c r="J84" s="41">
        <v>35.0</v>
      </c>
      <c r="K84" s="41">
        <v>35.0</v>
      </c>
      <c r="L84" s="41"/>
      <c r="M84" s="41"/>
      <c r="N84" s="41"/>
      <c r="O84" s="41"/>
      <c r="P84" s="41"/>
      <c r="Q84" s="41"/>
      <c r="R84" s="41"/>
      <c r="S84" s="31"/>
      <c r="T84" s="31"/>
    </row>
    <row r="85" ht="26.25" customHeight="1">
      <c r="A85" s="13"/>
      <c r="B85" s="30" t="s">
        <v>17</v>
      </c>
      <c r="C85" s="32" t="s">
        <v>85</v>
      </c>
      <c r="D85" s="33"/>
      <c r="E85" s="30">
        <v>3.0</v>
      </c>
      <c r="F85" s="38">
        <v>10.0</v>
      </c>
      <c r="G85" s="38"/>
      <c r="H85" s="30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30" t="s">
        <v>86</v>
      </c>
      <c r="T85" s="31"/>
    </row>
    <row r="86" ht="26.25" customHeight="1">
      <c r="A86" s="13"/>
      <c r="B86" s="30" t="s">
        <v>21</v>
      </c>
      <c r="C86" s="32" t="s">
        <v>87</v>
      </c>
      <c r="D86" s="33" t="s">
        <v>88</v>
      </c>
      <c r="E86" s="30">
        <v>3.0</v>
      </c>
      <c r="F86" s="38">
        <v>10.0</v>
      </c>
      <c r="G86" s="38"/>
      <c r="H86" s="30"/>
      <c r="I86" s="42">
        <v>20.0</v>
      </c>
      <c r="J86" s="42">
        <v>20.0</v>
      </c>
      <c r="K86" s="42">
        <v>20.0</v>
      </c>
      <c r="L86" s="42"/>
      <c r="M86" s="42"/>
      <c r="N86" s="42"/>
      <c r="O86" s="42"/>
      <c r="P86" s="42"/>
      <c r="Q86" s="42"/>
      <c r="R86" s="42"/>
      <c r="S86" s="31"/>
      <c r="T86" s="31"/>
    </row>
    <row r="87" ht="26.25" customHeight="1">
      <c r="A87" s="13"/>
      <c r="B87" s="30" t="s">
        <v>21</v>
      </c>
      <c r="C87" s="32" t="s">
        <v>89</v>
      </c>
      <c r="D87" s="33"/>
      <c r="E87" s="30">
        <v>3.0</v>
      </c>
      <c r="F87" s="38">
        <v>10.0</v>
      </c>
      <c r="G87" s="38"/>
      <c r="H87" s="30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31"/>
      <c r="T87" s="31"/>
    </row>
    <row r="88" ht="26.25" customHeight="1">
      <c r="A88" s="13"/>
      <c r="B88" s="30" t="s">
        <v>26</v>
      </c>
      <c r="C88" s="32" t="s">
        <v>27</v>
      </c>
      <c r="D88" s="33"/>
      <c r="E88" s="30">
        <v>3.0</v>
      </c>
      <c r="F88" s="38">
        <v>10.0</v>
      </c>
      <c r="G88" s="38"/>
      <c r="H88" s="30"/>
      <c r="I88" s="42">
        <v>25.0</v>
      </c>
      <c r="J88" s="42">
        <v>25.0</v>
      </c>
      <c r="K88" s="42">
        <v>25.0</v>
      </c>
      <c r="L88" s="42"/>
      <c r="M88" s="42"/>
      <c r="N88" s="42"/>
      <c r="O88" s="42"/>
      <c r="P88" s="42"/>
      <c r="Q88" s="42"/>
      <c r="R88" s="42"/>
      <c r="S88" s="31"/>
      <c r="T88" s="31"/>
    </row>
    <row r="89" ht="26.25" customHeight="1">
      <c r="A89" s="13"/>
      <c r="B89" s="35" t="s">
        <v>26</v>
      </c>
      <c r="C89" s="32" t="s">
        <v>90</v>
      </c>
      <c r="D89" s="33"/>
      <c r="E89" s="30">
        <v>3.0</v>
      </c>
      <c r="F89" s="38">
        <v>10.0</v>
      </c>
      <c r="G89" s="38"/>
      <c r="H89" s="30"/>
      <c r="I89" s="42">
        <v>25.0</v>
      </c>
      <c r="J89" s="42">
        <v>25.0</v>
      </c>
      <c r="K89" s="42">
        <v>25.0</v>
      </c>
      <c r="L89" s="42"/>
      <c r="M89" s="42"/>
      <c r="N89" s="42"/>
      <c r="O89" s="42"/>
      <c r="P89" s="42"/>
      <c r="Q89" s="42"/>
      <c r="R89" s="42"/>
      <c r="S89" s="31"/>
      <c r="T89" s="31"/>
    </row>
    <row r="90" ht="26.25" customHeight="1">
      <c r="A90" s="13"/>
      <c r="B90" s="36"/>
      <c r="C90" s="32" t="str">
        <f>IF(D90&lt;&gt;"", HYPERLINK(VLOOKUP(D90, DATA!H:K, 4, FALSE), D90), "")</f>
        <v/>
      </c>
      <c r="D90" s="33"/>
      <c r="E90" s="30"/>
      <c r="F90" s="27"/>
      <c r="G90" s="38"/>
      <c r="H90" s="30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31"/>
      <c r="T90" s="31"/>
    </row>
    <row r="91" ht="26.25" customHeight="1">
      <c r="A91" s="13"/>
      <c r="B91" s="31"/>
      <c r="C91" s="32" t="str">
        <f>IF(D91&lt;&gt;"", HYPERLINK(VLOOKUP(D91, DATA!H:K, 4, FALSE), D91), "")</f>
        <v/>
      </c>
      <c r="D91" s="33"/>
      <c r="E91" s="30"/>
      <c r="F91" s="27"/>
      <c r="G91" s="38"/>
      <c r="H91" s="30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31"/>
      <c r="T91" s="31"/>
    </row>
    <row r="92" ht="11.25" customHeight="1">
      <c r="A92" s="13"/>
      <c r="B92" s="37"/>
      <c r="T92" s="37"/>
    </row>
    <row r="93" ht="11.25" customHeight="1">
      <c r="A93" s="13"/>
      <c r="B93" s="39"/>
      <c r="T93" s="39"/>
      <c r="U93" s="16"/>
    </row>
    <row r="94" ht="30.0" customHeight="1">
      <c r="A94" s="13"/>
      <c r="B94" s="66"/>
      <c r="C94" s="67" t="b">
        <v>1</v>
      </c>
      <c r="D94" s="68" t="str">
        <f>IFS(C94=FALSE, "Session 3", C94=TRUE, "Session 3 Completed", TRUE, "")</f>
        <v>Session 3 Completed</v>
      </c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70">
        <v>45598.0</v>
      </c>
      <c r="T94" s="69"/>
      <c r="U94" s="23"/>
    </row>
    <row r="95" ht="30.0" customHeight="1">
      <c r="A95" s="13"/>
      <c r="B95" s="71"/>
      <c r="C95" s="73" t="s">
        <v>91</v>
      </c>
      <c r="D95" s="72"/>
      <c r="E95" s="73" t="s">
        <v>9</v>
      </c>
      <c r="F95" s="73" t="s">
        <v>10</v>
      </c>
      <c r="G95" s="74" t="s">
        <v>11</v>
      </c>
      <c r="H95" s="73" t="s">
        <v>12</v>
      </c>
      <c r="I95" s="73" t="s">
        <v>13</v>
      </c>
      <c r="J95" s="75"/>
      <c r="K95" s="75"/>
      <c r="L95" s="75"/>
      <c r="M95" s="75"/>
      <c r="N95" s="75"/>
      <c r="O95" s="75"/>
      <c r="P95" s="75"/>
      <c r="Q95" s="75"/>
      <c r="R95" s="75"/>
      <c r="S95" s="73"/>
      <c r="T95" s="73" t="s">
        <v>51</v>
      </c>
    </row>
    <row r="96" ht="26.25" customHeight="1">
      <c r="A96" s="13"/>
      <c r="B96" s="30" t="s">
        <v>17</v>
      </c>
      <c r="C96" s="62" t="str">
        <f>IF(D96&lt;&gt;"", HYPERLINK(VLOOKUP(D96, DATA!H:K, 4, FALSE), D96), "")</f>
        <v>Barbell Bench Press</v>
      </c>
      <c r="D96" s="33" t="s">
        <v>72</v>
      </c>
      <c r="E96" s="30">
        <v>4.0</v>
      </c>
      <c r="F96" s="38">
        <v>10.0</v>
      </c>
      <c r="G96" s="38"/>
      <c r="H96" s="30"/>
      <c r="I96" s="41">
        <v>50.0</v>
      </c>
      <c r="J96" s="41">
        <v>50.0</v>
      </c>
      <c r="K96" s="41">
        <v>50.0</v>
      </c>
      <c r="L96" s="41">
        <v>50.0</v>
      </c>
      <c r="M96" s="41"/>
      <c r="N96" s="41"/>
      <c r="O96" s="41"/>
      <c r="P96" s="41"/>
      <c r="Q96" s="41"/>
      <c r="R96" s="41"/>
      <c r="S96" s="30" t="s">
        <v>92</v>
      </c>
      <c r="T96" s="31"/>
    </row>
    <row r="97" ht="26.25" customHeight="1">
      <c r="A97" s="13"/>
      <c r="B97" s="30" t="s">
        <v>17</v>
      </c>
      <c r="C97" s="62" t="str">
        <f>IF(D97&lt;&gt;"", HYPERLINK(VLOOKUP(D97, DATA!H:K, 4, FALSE), D97), "")</f>
        <v>DB Flat Chest Fly</v>
      </c>
      <c r="D97" s="33" t="s">
        <v>93</v>
      </c>
      <c r="E97" s="30">
        <v>4.0</v>
      </c>
      <c r="F97" s="38">
        <v>10.0</v>
      </c>
      <c r="G97" s="38"/>
      <c r="H97" s="30"/>
      <c r="I97" s="42">
        <v>30.0</v>
      </c>
      <c r="J97" s="42">
        <v>30.0</v>
      </c>
      <c r="K97" s="42">
        <v>30.0</v>
      </c>
      <c r="L97" s="42">
        <v>30.0</v>
      </c>
      <c r="M97" s="42"/>
      <c r="N97" s="42"/>
      <c r="O97" s="42"/>
      <c r="P97" s="42"/>
      <c r="Q97" s="42"/>
      <c r="R97" s="42"/>
      <c r="S97" s="31"/>
      <c r="T97" s="31"/>
    </row>
    <row r="98" ht="26.25" customHeight="1">
      <c r="A98" s="13"/>
      <c r="B98" s="30" t="s">
        <v>21</v>
      </c>
      <c r="C98" s="62" t="str">
        <f>IF(D98&lt;&gt;"", HYPERLINK(VLOOKUP(D98, DATA!H:K, 4, FALSE), D98), "")</f>
        <v>DB Incline Chest Press</v>
      </c>
      <c r="D98" s="33" t="s">
        <v>94</v>
      </c>
      <c r="E98" s="30">
        <v>4.0</v>
      </c>
      <c r="F98" s="38">
        <v>10.0</v>
      </c>
      <c r="G98" s="38"/>
      <c r="H98" s="30"/>
      <c r="I98" s="42">
        <v>30.0</v>
      </c>
      <c r="J98" s="42">
        <v>30.0</v>
      </c>
      <c r="K98" s="42">
        <v>30.0</v>
      </c>
      <c r="L98" s="42">
        <v>30.0</v>
      </c>
      <c r="M98" s="42"/>
      <c r="N98" s="42"/>
      <c r="O98" s="42"/>
      <c r="P98" s="42"/>
      <c r="Q98" s="42"/>
      <c r="R98" s="42"/>
      <c r="S98" s="31"/>
      <c r="T98" s="31"/>
    </row>
    <row r="99" ht="26.25" customHeight="1">
      <c r="A99" s="13"/>
      <c r="B99" s="30" t="s">
        <v>21</v>
      </c>
      <c r="C99" s="32" t="s">
        <v>95</v>
      </c>
      <c r="D99" s="33"/>
      <c r="E99" s="30">
        <v>4.0</v>
      </c>
      <c r="F99" s="38">
        <v>10.0</v>
      </c>
      <c r="G99" s="38"/>
      <c r="H99" s="30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31"/>
      <c r="T99" s="31"/>
    </row>
    <row r="100" ht="26.25" customHeight="1">
      <c r="A100" s="13"/>
      <c r="B100" s="30" t="s">
        <v>26</v>
      </c>
      <c r="C100" s="62" t="str">
        <f>IF(D100&lt;&gt;"", HYPERLINK(VLOOKUP(D100, DATA!H:K, 4, FALSE), D100), "")</f>
        <v>Tricep Dips</v>
      </c>
      <c r="D100" s="33" t="s">
        <v>19</v>
      </c>
      <c r="E100" s="30">
        <v>3.0</v>
      </c>
      <c r="F100" s="38" t="s">
        <v>71</v>
      </c>
      <c r="G100" s="38"/>
      <c r="H100" s="30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30" t="s">
        <v>96</v>
      </c>
      <c r="T100" s="31"/>
    </row>
    <row r="101" ht="26.25" customHeight="1">
      <c r="A101" s="13"/>
      <c r="B101" s="35"/>
      <c r="C101" s="32" t="str">
        <f>IF(D101&lt;&gt;"", HYPERLINK(VLOOKUP(D101, DATA!H:K, 4, FALSE), D101), "")</f>
        <v/>
      </c>
      <c r="D101" s="33"/>
      <c r="E101" s="30"/>
      <c r="F101" s="27"/>
      <c r="G101" s="38"/>
      <c r="H101" s="30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31"/>
      <c r="T101" s="31"/>
    </row>
    <row r="102" ht="26.25" customHeight="1">
      <c r="A102" s="13"/>
      <c r="B102" s="36"/>
      <c r="C102" s="32" t="str">
        <f>IF(D102&lt;&gt;"", HYPERLINK(VLOOKUP(D102, DATA!H:K, 4, FALSE), D102), "")</f>
        <v/>
      </c>
      <c r="D102" s="33"/>
      <c r="E102" s="30"/>
      <c r="F102" s="27"/>
      <c r="G102" s="38"/>
      <c r="H102" s="30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31"/>
      <c r="T102" s="31"/>
    </row>
    <row r="103" ht="26.25" customHeight="1">
      <c r="A103" s="13"/>
      <c r="B103" s="31"/>
      <c r="C103" s="32" t="str">
        <f>IF(D103&lt;&gt;"", HYPERLINK(VLOOKUP(D103, DATA!H:K, 4, FALSE), D103), "")</f>
        <v/>
      </c>
      <c r="D103" s="33"/>
      <c r="E103" s="30"/>
      <c r="F103" s="27"/>
      <c r="G103" s="38"/>
      <c r="H103" s="30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31"/>
      <c r="T103" s="31"/>
    </row>
    <row r="104" ht="11.25" customHeight="1">
      <c r="A104" s="13"/>
      <c r="B104" s="37"/>
      <c r="T104" s="37"/>
    </row>
    <row r="105" ht="11.25" customHeight="1">
      <c r="A105" s="13"/>
      <c r="B105" s="39"/>
      <c r="T105" s="39"/>
      <c r="U105" s="16"/>
    </row>
    <row r="106" ht="30.0" customHeight="1">
      <c r="A106" s="13"/>
      <c r="B106" s="66"/>
      <c r="C106" s="67" t="b">
        <v>1</v>
      </c>
      <c r="D106" s="68" t="str">
        <f>IFS(C106=FALSE, "Session 4", C106=TRUE, "Session 4 Completed", TRUE, "")</f>
        <v>Session 4 Completed</v>
      </c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70">
        <v>45636.0</v>
      </c>
      <c r="T106" s="69"/>
      <c r="U106" s="23"/>
    </row>
    <row r="107" ht="30.0" customHeight="1">
      <c r="A107" s="13"/>
      <c r="B107" s="71"/>
      <c r="C107" s="72" t="s">
        <v>8</v>
      </c>
      <c r="D107" s="72"/>
      <c r="E107" s="73" t="s">
        <v>9</v>
      </c>
      <c r="F107" s="73" t="s">
        <v>10</v>
      </c>
      <c r="G107" s="74" t="s">
        <v>11</v>
      </c>
      <c r="H107" s="73" t="s">
        <v>12</v>
      </c>
      <c r="I107" s="73" t="s">
        <v>13</v>
      </c>
      <c r="J107" s="75"/>
      <c r="K107" s="75"/>
      <c r="L107" s="75"/>
      <c r="M107" s="75"/>
      <c r="N107" s="75"/>
      <c r="O107" s="75"/>
      <c r="P107" s="75"/>
      <c r="Q107" s="75"/>
      <c r="R107" s="75"/>
      <c r="S107" s="73" t="s">
        <v>15</v>
      </c>
      <c r="T107" s="73" t="s">
        <v>51</v>
      </c>
    </row>
    <row r="108" ht="26.25" customHeight="1">
      <c r="A108" s="13"/>
      <c r="B108" s="30"/>
      <c r="C108" s="32" t="s">
        <v>97</v>
      </c>
      <c r="D108" s="33" t="s">
        <v>98</v>
      </c>
      <c r="E108" s="30">
        <v>4.0</v>
      </c>
      <c r="F108" s="38">
        <v>10.0</v>
      </c>
      <c r="G108" s="38"/>
      <c r="H108" s="30"/>
      <c r="I108" s="41">
        <v>35.0</v>
      </c>
      <c r="J108" s="41">
        <v>40.0</v>
      </c>
      <c r="K108" s="41">
        <v>40.0</v>
      </c>
      <c r="L108" s="41">
        <v>40.0</v>
      </c>
      <c r="M108" s="41"/>
      <c r="N108" s="41"/>
      <c r="O108" s="41"/>
      <c r="P108" s="41"/>
      <c r="Q108" s="41"/>
      <c r="R108" s="41"/>
      <c r="S108" s="31"/>
      <c r="T108" s="31"/>
    </row>
    <row r="109" ht="26.25" customHeight="1">
      <c r="A109" s="13"/>
      <c r="B109" s="30"/>
      <c r="C109" s="32" t="s">
        <v>27</v>
      </c>
      <c r="D109" s="33"/>
      <c r="E109" s="30">
        <v>4.0</v>
      </c>
      <c r="F109" s="38">
        <v>10.0</v>
      </c>
      <c r="G109" s="38"/>
      <c r="H109" s="30"/>
      <c r="I109" s="42">
        <v>30.0</v>
      </c>
      <c r="J109" s="42">
        <v>30.0</v>
      </c>
      <c r="K109" s="42">
        <v>30.0</v>
      </c>
      <c r="L109" s="42">
        <v>30.0</v>
      </c>
      <c r="M109" s="42"/>
      <c r="N109" s="42"/>
      <c r="O109" s="42"/>
      <c r="P109" s="42"/>
      <c r="Q109" s="42"/>
      <c r="R109" s="42"/>
      <c r="S109" s="31"/>
      <c r="T109" s="31"/>
    </row>
    <row r="110" ht="26.25" customHeight="1">
      <c r="A110" s="13"/>
      <c r="B110" s="30"/>
      <c r="C110" s="32" t="s">
        <v>99</v>
      </c>
      <c r="D110" s="33"/>
      <c r="E110" s="30">
        <v>4.0</v>
      </c>
      <c r="F110" s="38">
        <v>10.0</v>
      </c>
      <c r="G110" s="38"/>
      <c r="H110" s="30"/>
      <c r="I110" s="42">
        <v>50.0</v>
      </c>
      <c r="J110" s="42">
        <v>50.0</v>
      </c>
      <c r="K110" s="42">
        <v>50.0</v>
      </c>
      <c r="L110" s="42">
        <v>50.0</v>
      </c>
      <c r="M110" s="42"/>
      <c r="N110" s="42"/>
      <c r="O110" s="42"/>
      <c r="P110" s="42"/>
      <c r="Q110" s="42"/>
      <c r="R110" s="42"/>
      <c r="S110" s="31"/>
      <c r="T110" s="31"/>
    </row>
    <row r="111" ht="26.25" customHeight="1">
      <c r="A111" s="13"/>
      <c r="B111" s="30"/>
      <c r="C111" s="32" t="str">
        <f>IF(D111&lt;&gt;"", HYPERLINK(VLOOKUP(D111, DATA!H:K, 4, FALSE), D111), "")</f>
        <v/>
      </c>
      <c r="D111" s="33"/>
      <c r="E111" s="30"/>
      <c r="F111" s="27"/>
      <c r="G111" s="38"/>
      <c r="H111" s="30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31"/>
      <c r="T111" s="31"/>
    </row>
    <row r="112" ht="26.25" customHeight="1">
      <c r="A112" s="13"/>
      <c r="B112" s="30"/>
      <c r="C112" s="32" t="str">
        <f>IF(D112&lt;&gt;"", HYPERLINK(VLOOKUP(D112, DATA!H:K, 4, FALSE), D112), "")</f>
        <v/>
      </c>
      <c r="D112" s="33"/>
      <c r="E112" s="30"/>
      <c r="F112" s="27"/>
      <c r="G112" s="38"/>
      <c r="H112" s="30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31"/>
      <c r="T112" s="31"/>
    </row>
    <row r="113" ht="26.25" customHeight="1">
      <c r="A113" s="13"/>
      <c r="B113" s="35"/>
      <c r="C113" s="32" t="str">
        <f>IF(D113&lt;&gt;"", HYPERLINK(VLOOKUP(D113, DATA!H:K, 4, FALSE), D113), "")</f>
        <v/>
      </c>
      <c r="D113" s="33"/>
      <c r="E113" s="30"/>
      <c r="F113" s="27"/>
      <c r="G113" s="38"/>
      <c r="H113" s="30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31"/>
      <c r="T113" s="31"/>
    </row>
    <row r="114" ht="26.25" customHeight="1">
      <c r="A114" s="13"/>
      <c r="B114" s="36"/>
      <c r="C114" s="32" t="str">
        <f>IF(D114&lt;&gt;"", HYPERLINK(VLOOKUP(D114, DATA!H:K, 4, FALSE), D114), "")</f>
        <v/>
      </c>
      <c r="D114" s="33"/>
      <c r="E114" s="30"/>
      <c r="F114" s="27"/>
      <c r="G114" s="38"/>
      <c r="H114" s="30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31"/>
      <c r="T114" s="31"/>
    </row>
    <row r="115" ht="26.25" customHeight="1">
      <c r="A115" s="13"/>
      <c r="B115" s="31"/>
      <c r="C115" s="32" t="str">
        <f>IF(D115&lt;&gt;"", HYPERLINK(VLOOKUP(D115, DATA!H:K, 4, FALSE), D115), "")</f>
        <v/>
      </c>
      <c r="D115" s="33"/>
      <c r="E115" s="30"/>
      <c r="F115" s="27"/>
      <c r="G115" s="38"/>
      <c r="H115" s="30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31"/>
      <c r="T115" s="31"/>
    </row>
    <row r="116" ht="11.25" customHeight="1">
      <c r="A116" s="13"/>
      <c r="B116" s="37"/>
      <c r="T116" s="37"/>
    </row>
    <row r="117" ht="11.25" customHeight="1">
      <c r="A117" s="13"/>
      <c r="B117" s="39"/>
      <c r="T117" s="39"/>
      <c r="U117" s="16"/>
    </row>
    <row r="118" ht="30.0" customHeight="1">
      <c r="A118" s="13"/>
      <c r="B118" s="66"/>
      <c r="C118" s="67" t="b">
        <v>1</v>
      </c>
      <c r="D118" s="68" t="str">
        <f>IFS(C118=FALSE, "Session 5", C118=TRUE, "Session 5 Completed", TRUE, "")</f>
        <v>Session 5 Completed</v>
      </c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70">
        <v>45637.0</v>
      </c>
      <c r="T118" s="69"/>
      <c r="U118" s="23"/>
    </row>
    <row r="119" ht="30.0" customHeight="1">
      <c r="A119" s="13"/>
      <c r="B119" s="71"/>
      <c r="C119" s="72" t="s">
        <v>8</v>
      </c>
      <c r="D119" s="72"/>
      <c r="E119" s="73" t="s">
        <v>9</v>
      </c>
      <c r="F119" s="73" t="s">
        <v>10</v>
      </c>
      <c r="G119" s="74" t="s">
        <v>11</v>
      </c>
      <c r="H119" s="73" t="s">
        <v>12</v>
      </c>
      <c r="I119" s="73" t="s">
        <v>13</v>
      </c>
      <c r="J119" s="75"/>
      <c r="K119" s="75"/>
      <c r="L119" s="75"/>
      <c r="M119" s="75"/>
      <c r="N119" s="75"/>
      <c r="O119" s="75"/>
      <c r="P119" s="75"/>
      <c r="Q119" s="75"/>
      <c r="R119" s="75"/>
      <c r="S119" s="73" t="s">
        <v>15</v>
      </c>
      <c r="T119" s="73" t="s">
        <v>51</v>
      </c>
    </row>
    <row r="120" ht="26.25" customHeight="1">
      <c r="A120" s="13"/>
      <c r="B120" s="30" t="s">
        <v>17</v>
      </c>
      <c r="C120" s="32" t="s">
        <v>100</v>
      </c>
      <c r="D120" s="33"/>
      <c r="E120" s="30">
        <v>4.0</v>
      </c>
      <c r="F120" s="38">
        <v>10.0</v>
      </c>
      <c r="G120" s="38"/>
      <c r="H120" s="30"/>
      <c r="I120" s="41">
        <v>50.0</v>
      </c>
      <c r="J120" s="41">
        <v>50.0</v>
      </c>
      <c r="K120" s="41">
        <v>50.0</v>
      </c>
      <c r="L120" s="41">
        <v>50.0</v>
      </c>
      <c r="M120" s="41"/>
      <c r="N120" s="41"/>
      <c r="O120" s="41"/>
      <c r="P120" s="41"/>
      <c r="Q120" s="41"/>
      <c r="R120" s="41"/>
      <c r="S120" s="31"/>
      <c r="T120" s="31"/>
    </row>
    <row r="121" ht="26.25" customHeight="1">
      <c r="A121" s="13"/>
      <c r="B121" s="30" t="s">
        <v>17</v>
      </c>
      <c r="C121" s="32" t="s">
        <v>101</v>
      </c>
      <c r="D121" s="33"/>
      <c r="E121" s="30">
        <v>4.0</v>
      </c>
      <c r="F121" s="38">
        <v>10.0</v>
      </c>
      <c r="G121" s="38"/>
      <c r="H121" s="30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31"/>
      <c r="T121" s="31"/>
    </row>
    <row r="122" ht="26.25" customHeight="1">
      <c r="A122" s="13"/>
      <c r="B122" s="30" t="s">
        <v>21</v>
      </c>
      <c r="C122" s="32" t="s">
        <v>102</v>
      </c>
      <c r="D122" s="33"/>
      <c r="E122" s="30">
        <v>4.0</v>
      </c>
      <c r="F122" s="38">
        <v>10.0</v>
      </c>
      <c r="G122" s="38"/>
      <c r="H122" s="30"/>
      <c r="I122" s="42">
        <v>30.0</v>
      </c>
      <c r="J122" s="42">
        <v>30.0</v>
      </c>
      <c r="K122" s="42">
        <v>30.0</v>
      </c>
      <c r="L122" s="42">
        <v>30.0</v>
      </c>
      <c r="M122" s="42"/>
      <c r="N122" s="42"/>
      <c r="O122" s="42"/>
      <c r="P122" s="42"/>
      <c r="Q122" s="42"/>
      <c r="R122" s="42"/>
      <c r="S122" s="31"/>
      <c r="T122" s="31"/>
    </row>
    <row r="123" ht="26.25" customHeight="1">
      <c r="A123" s="13"/>
      <c r="B123" s="30"/>
      <c r="C123" s="32" t="str">
        <f>IF(D123&lt;&gt;"", HYPERLINK(VLOOKUP(D123, DATA!H:K, 4, FALSE), D123), "")</f>
        <v/>
      </c>
      <c r="D123" s="33"/>
      <c r="E123" s="30"/>
      <c r="F123" s="27"/>
      <c r="G123" s="38"/>
      <c r="H123" s="30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31"/>
      <c r="T123" s="31"/>
    </row>
    <row r="124" ht="26.25" customHeight="1">
      <c r="A124" s="13"/>
      <c r="B124" s="30"/>
      <c r="C124" s="32" t="str">
        <f>IF(D124&lt;&gt;"", HYPERLINK(VLOOKUP(D124, DATA!H:K, 4, FALSE), D124), "")</f>
        <v/>
      </c>
      <c r="D124" s="33"/>
      <c r="E124" s="30"/>
      <c r="F124" s="27"/>
      <c r="G124" s="38"/>
      <c r="H124" s="30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31"/>
      <c r="T124" s="31"/>
    </row>
    <row r="125" ht="26.25" customHeight="1">
      <c r="A125" s="13"/>
      <c r="B125" s="35"/>
      <c r="C125" s="32" t="str">
        <f>IF(D125&lt;&gt;"", HYPERLINK(VLOOKUP(D125, DATA!H:K, 4, FALSE), D125), "")</f>
        <v/>
      </c>
      <c r="D125" s="33"/>
      <c r="E125" s="30"/>
      <c r="F125" s="27"/>
      <c r="G125" s="38"/>
      <c r="H125" s="30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31"/>
      <c r="T125" s="31"/>
    </row>
    <row r="126" ht="26.25" customHeight="1">
      <c r="A126" s="13"/>
      <c r="B126" s="36"/>
      <c r="C126" s="32" t="str">
        <f>IF(D126&lt;&gt;"", HYPERLINK(VLOOKUP(D126, DATA!H:K, 4, FALSE), D126), "")</f>
        <v/>
      </c>
      <c r="D126" s="33"/>
      <c r="E126" s="30"/>
      <c r="F126" s="27"/>
      <c r="G126" s="38"/>
      <c r="H126" s="30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31"/>
      <c r="T126" s="31"/>
    </row>
    <row r="127" ht="26.25" customHeight="1">
      <c r="A127" s="13"/>
      <c r="B127" s="31"/>
      <c r="C127" s="32" t="str">
        <f>IF(D127&lt;&gt;"", HYPERLINK(VLOOKUP(D127, DATA!H:K, 4, FALSE), D127), "")</f>
        <v/>
      </c>
      <c r="D127" s="33"/>
      <c r="E127" s="30"/>
      <c r="F127" s="27"/>
      <c r="G127" s="38"/>
      <c r="H127" s="30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31"/>
      <c r="T127" s="31"/>
    </row>
    <row r="128" ht="11.25" customHeight="1">
      <c r="A128" s="13"/>
      <c r="B128" s="37"/>
      <c r="T128" s="37"/>
    </row>
    <row r="129" ht="11.25" customHeight="1">
      <c r="A129" s="13"/>
      <c r="B129" s="39"/>
      <c r="T129" s="39"/>
      <c r="U129" s="16"/>
    </row>
    <row r="130" ht="30.0" customHeight="1">
      <c r="A130" s="13"/>
      <c r="B130" s="66"/>
      <c r="C130" s="67" t="b">
        <v>1</v>
      </c>
      <c r="D130" s="68" t="str">
        <f>IFS(C130=FALSE, "Session 6", C130=TRUE, "Session 6 Completed", TRUE, "")</f>
        <v>Session 6 Completed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70">
        <v>45638.0</v>
      </c>
      <c r="T130" s="69"/>
      <c r="U130" s="23"/>
    </row>
    <row r="131" ht="30.0" customHeight="1">
      <c r="A131" s="13"/>
      <c r="B131" s="71"/>
      <c r="C131" s="72" t="s">
        <v>8</v>
      </c>
      <c r="D131" s="72"/>
      <c r="E131" s="73" t="s">
        <v>9</v>
      </c>
      <c r="F131" s="73" t="s">
        <v>10</v>
      </c>
      <c r="G131" s="74" t="s">
        <v>11</v>
      </c>
      <c r="H131" s="73" t="s">
        <v>12</v>
      </c>
      <c r="I131" s="73" t="s">
        <v>13</v>
      </c>
      <c r="J131" s="75"/>
      <c r="K131" s="75"/>
      <c r="L131" s="75"/>
      <c r="M131" s="75"/>
      <c r="N131" s="75"/>
      <c r="O131" s="75"/>
      <c r="P131" s="75"/>
      <c r="Q131" s="75"/>
      <c r="R131" s="75"/>
      <c r="S131" s="73" t="s">
        <v>15</v>
      </c>
      <c r="T131" s="73" t="s">
        <v>51</v>
      </c>
    </row>
    <row r="132" ht="26.25" customHeight="1">
      <c r="A132" s="13"/>
      <c r="B132" s="30"/>
      <c r="C132" s="32" t="s">
        <v>39</v>
      </c>
      <c r="D132" s="33" t="s">
        <v>36</v>
      </c>
      <c r="E132" s="30">
        <v>4.0</v>
      </c>
      <c r="F132" s="38">
        <v>10.0</v>
      </c>
      <c r="G132" s="38"/>
      <c r="H132" s="30"/>
      <c r="I132" s="41">
        <v>15.0</v>
      </c>
      <c r="J132" s="41">
        <v>15.0</v>
      </c>
      <c r="K132" s="41">
        <v>15.0</v>
      </c>
      <c r="L132" s="41">
        <v>15.0</v>
      </c>
      <c r="M132" s="41"/>
      <c r="N132" s="41"/>
      <c r="O132" s="41"/>
      <c r="P132" s="41"/>
      <c r="Q132" s="41"/>
      <c r="R132" s="41"/>
      <c r="S132" s="31"/>
      <c r="T132" s="31"/>
    </row>
    <row r="133" ht="26.25" customHeight="1">
      <c r="A133" s="13"/>
      <c r="B133" s="30"/>
      <c r="C133" s="32" t="s">
        <v>41</v>
      </c>
      <c r="D133" s="33"/>
      <c r="E133" s="30">
        <v>4.0</v>
      </c>
      <c r="F133" s="38">
        <v>10.0</v>
      </c>
      <c r="G133" s="38"/>
      <c r="H133" s="30"/>
      <c r="I133" s="42">
        <v>30.0</v>
      </c>
      <c r="J133" s="42">
        <v>30.0</v>
      </c>
      <c r="K133" s="42">
        <v>30.0</v>
      </c>
      <c r="L133" s="42">
        <v>30.0</v>
      </c>
      <c r="M133" s="42"/>
      <c r="N133" s="42"/>
      <c r="O133" s="42"/>
      <c r="P133" s="42"/>
      <c r="Q133" s="42"/>
      <c r="R133" s="42"/>
      <c r="S133" s="31"/>
      <c r="T133" s="31"/>
    </row>
    <row r="134" ht="26.25" customHeight="1">
      <c r="A134" s="13"/>
      <c r="B134" s="30"/>
      <c r="C134" s="32" t="s">
        <v>103</v>
      </c>
      <c r="D134" s="33"/>
      <c r="E134" s="30">
        <v>4.0</v>
      </c>
      <c r="F134" s="38">
        <v>10.0</v>
      </c>
      <c r="G134" s="38"/>
      <c r="H134" s="30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31"/>
      <c r="T134" s="31"/>
    </row>
    <row r="135" ht="26.25" customHeight="1">
      <c r="A135" s="13"/>
      <c r="B135" s="30"/>
      <c r="C135" s="32" t="s">
        <v>104</v>
      </c>
      <c r="D135" s="33"/>
      <c r="E135" s="30">
        <v>3.0</v>
      </c>
      <c r="F135" s="38">
        <v>10.0</v>
      </c>
      <c r="G135" s="38"/>
      <c r="H135" s="30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31"/>
      <c r="T135" s="31"/>
    </row>
    <row r="136" ht="26.25" customHeight="1">
      <c r="A136" s="13"/>
      <c r="B136" s="30"/>
      <c r="C136" s="32" t="str">
        <f>IF(D136&lt;&gt;"", HYPERLINK(VLOOKUP(D136, DATA!H:K, 4, FALSE), D136), "")</f>
        <v/>
      </c>
      <c r="D136" s="33"/>
      <c r="E136" s="30"/>
      <c r="F136" s="27"/>
      <c r="G136" s="38"/>
      <c r="H136" s="30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31"/>
      <c r="T136" s="31"/>
    </row>
    <row r="137" ht="26.25" customHeight="1">
      <c r="A137" s="13"/>
      <c r="B137" s="35"/>
      <c r="C137" s="32" t="str">
        <f>IF(D137&lt;&gt;"", HYPERLINK(VLOOKUP(D137, DATA!H:K, 4, FALSE), D137), "")</f>
        <v/>
      </c>
      <c r="D137" s="33"/>
      <c r="E137" s="30"/>
      <c r="F137" s="27"/>
      <c r="G137" s="38"/>
      <c r="H137" s="30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31"/>
      <c r="T137" s="31"/>
    </row>
    <row r="138" ht="26.25" customHeight="1">
      <c r="A138" s="13"/>
      <c r="B138" s="36"/>
      <c r="C138" s="32" t="str">
        <f>IF(D138&lt;&gt;"", HYPERLINK(VLOOKUP(D138, DATA!H:K, 4, FALSE), D138), "")</f>
        <v/>
      </c>
      <c r="D138" s="33"/>
      <c r="E138" s="30"/>
      <c r="F138" s="27"/>
      <c r="G138" s="38"/>
      <c r="H138" s="30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31"/>
      <c r="T138" s="31"/>
    </row>
    <row r="139" ht="26.25" customHeight="1">
      <c r="A139" s="13"/>
      <c r="B139" s="31"/>
      <c r="C139" s="32" t="str">
        <f>IF(D139&lt;&gt;"", HYPERLINK(VLOOKUP(D139, DATA!H:K, 4, FALSE), D139), "")</f>
        <v/>
      </c>
      <c r="D139" s="33"/>
      <c r="E139" s="30"/>
      <c r="F139" s="27"/>
      <c r="G139" s="38"/>
      <c r="H139" s="30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31"/>
      <c r="T139" s="31"/>
    </row>
    <row r="140" ht="11.25" customHeight="1">
      <c r="A140" s="13"/>
      <c r="B140" s="37"/>
      <c r="T140" s="37"/>
    </row>
    <row r="141" ht="45.0" customHeight="1">
      <c r="A141" s="13"/>
      <c r="B141" s="14" t="s">
        <v>5</v>
      </c>
      <c r="U141" s="13"/>
    </row>
    <row r="142" ht="30.0" customHeight="1">
      <c r="A142" s="13"/>
      <c r="B142" s="66"/>
      <c r="C142" s="67" t="b">
        <v>1</v>
      </c>
      <c r="D142" s="68" t="str">
        <f>IFS(C142=FALSE, "Session 1", C142=TRUE, "Session 1 Completed", TRUE, "")</f>
        <v>Session 1 Completed</v>
      </c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82">
        <v>45641.49561342593</v>
      </c>
      <c r="T142" s="69"/>
      <c r="U142" s="23"/>
    </row>
    <row r="143" ht="30.0" customHeight="1">
      <c r="A143" s="13"/>
      <c r="B143" s="71"/>
      <c r="C143" s="72" t="s">
        <v>8</v>
      </c>
      <c r="D143" s="72"/>
      <c r="E143" s="73" t="s">
        <v>9</v>
      </c>
      <c r="F143" s="73" t="s">
        <v>10</v>
      </c>
      <c r="G143" s="74" t="s">
        <v>11</v>
      </c>
      <c r="H143" s="73" t="s">
        <v>12</v>
      </c>
      <c r="I143" s="73" t="s">
        <v>13</v>
      </c>
      <c r="J143" s="75"/>
      <c r="K143" s="75"/>
      <c r="L143" s="75"/>
      <c r="M143" s="75"/>
      <c r="N143" s="75"/>
      <c r="O143" s="75"/>
      <c r="P143" s="75"/>
      <c r="Q143" s="75"/>
      <c r="R143" s="75"/>
      <c r="S143" s="73" t="s">
        <v>15</v>
      </c>
      <c r="T143" s="73" t="s">
        <v>51</v>
      </c>
    </row>
    <row r="144" ht="26.25" customHeight="1">
      <c r="A144" s="13"/>
      <c r="B144" s="30" t="s">
        <v>17</v>
      </c>
      <c r="C144" s="32" t="s">
        <v>18</v>
      </c>
      <c r="D144" s="33"/>
      <c r="E144" s="30">
        <v>4.0</v>
      </c>
      <c r="F144" s="38">
        <v>10.0</v>
      </c>
      <c r="G144" s="38"/>
      <c r="H144" s="30"/>
      <c r="I144" s="41">
        <v>50.0</v>
      </c>
      <c r="J144" s="41">
        <v>55.0</v>
      </c>
      <c r="K144" s="41">
        <v>60.0</v>
      </c>
      <c r="L144" s="41">
        <v>60.0</v>
      </c>
      <c r="M144" s="41"/>
      <c r="N144" s="41"/>
      <c r="O144" s="41"/>
      <c r="P144" s="41"/>
      <c r="Q144" s="41"/>
      <c r="R144" s="41"/>
      <c r="S144" s="31"/>
      <c r="T144" s="31"/>
    </row>
    <row r="145" ht="26.25" customHeight="1">
      <c r="A145" s="13"/>
      <c r="B145" s="30" t="s">
        <v>17</v>
      </c>
      <c r="C145" s="32" t="s">
        <v>19</v>
      </c>
      <c r="D145" s="33"/>
      <c r="E145" s="30">
        <v>4.0</v>
      </c>
      <c r="F145" s="38">
        <v>10.0</v>
      </c>
      <c r="G145" s="38"/>
      <c r="H145" s="30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30" t="s">
        <v>20</v>
      </c>
      <c r="T145" s="31"/>
    </row>
    <row r="146" ht="26.25" customHeight="1">
      <c r="A146" s="13"/>
      <c r="B146" s="30" t="s">
        <v>21</v>
      </c>
      <c r="C146" s="32" t="s">
        <v>22</v>
      </c>
      <c r="D146" s="33"/>
      <c r="E146" s="30">
        <v>4.0</v>
      </c>
      <c r="F146" s="38">
        <v>10.0</v>
      </c>
      <c r="G146" s="38"/>
      <c r="H146" s="30"/>
      <c r="I146" s="42">
        <v>35.0</v>
      </c>
      <c r="J146" s="42">
        <v>35.0</v>
      </c>
      <c r="K146" s="42">
        <v>35.0</v>
      </c>
      <c r="L146" s="42">
        <v>35.0</v>
      </c>
      <c r="M146" s="42"/>
      <c r="N146" s="42"/>
      <c r="O146" s="42"/>
      <c r="P146" s="42"/>
      <c r="Q146" s="42"/>
      <c r="R146" s="42"/>
      <c r="S146" s="31"/>
      <c r="T146" s="31"/>
    </row>
    <row r="147" ht="26.25" customHeight="1">
      <c r="A147" s="13"/>
      <c r="B147" s="30" t="s">
        <v>26</v>
      </c>
      <c r="C147" s="32" t="s">
        <v>23</v>
      </c>
      <c r="D147" s="33"/>
      <c r="E147" s="30">
        <v>4.0</v>
      </c>
      <c r="F147" s="38">
        <v>10.0</v>
      </c>
      <c r="G147" s="38"/>
      <c r="H147" s="30"/>
      <c r="I147" s="42">
        <v>30.0</v>
      </c>
      <c r="J147" s="42">
        <v>30.0</v>
      </c>
      <c r="K147" s="42">
        <v>35.0</v>
      </c>
      <c r="L147" s="42">
        <v>35.0</v>
      </c>
      <c r="M147" s="42"/>
      <c r="N147" s="42"/>
      <c r="O147" s="42"/>
      <c r="P147" s="42"/>
      <c r="Q147" s="42"/>
      <c r="R147" s="42"/>
      <c r="S147" s="31"/>
      <c r="T147" s="31"/>
    </row>
    <row r="148" ht="26.25" customHeight="1">
      <c r="A148" s="13"/>
      <c r="B148" s="30"/>
      <c r="C148" s="32" t="str">
        <f>IF(D148&lt;&gt;"", HYPERLINK(VLOOKUP(D148, DATA!H:K, 4, FALSE), D148), "")</f>
        <v/>
      </c>
      <c r="D148" s="33"/>
      <c r="E148" s="30"/>
      <c r="F148" s="27"/>
      <c r="G148" s="38"/>
      <c r="H148" s="30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31"/>
      <c r="T148" s="31"/>
    </row>
    <row r="149" ht="26.25" customHeight="1">
      <c r="A149" s="13"/>
      <c r="B149" s="35"/>
      <c r="C149" s="32" t="str">
        <f>IF(D149&lt;&gt;"", HYPERLINK(VLOOKUP(D149, DATA!H:K, 4, FALSE), D149), "")</f>
        <v/>
      </c>
      <c r="D149" s="33"/>
      <c r="E149" s="30"/>
      <c r="F149" s="27"/>
      <c r="G149" s="38"/>
      <c r="H149" s="30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31"/>
      <c r="T149" s="31"/>
    </row>
    <row r="150" ht="26.25" customHeight="1">
      <c r="A150" s="13"/>
      <c r="B150" s="36"/>
      <c r="C150" s="32" t="str">
        <f>IF(D150&lt;&gt;"", HYPERLINK(VLOOKUP(D150, DATA!H:K, 4, FALSE), D150), "")</f>
        <v/>
      </c>
      <c r="D150" s="33"/>
      <c r="E150" s="30"/>
      <c r="F150" s="27"/>
      <c r="G150" s="38"/>
      <c r="H150" s="30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31"/>
      <c r="T150" s="31"/>
    </row>
    <row r="151" ht="26.25" customHeight="1">
      <c r="A151" s="13"/>
      <c r="B151" s="31"/>
      <c r="C151" s="32" t="str">
        <f>IF(D151&lt;&gt;"", HYPERLINK(VLOOKUP(D151, DATA!H:K, 4, FALSE), D151), "")</f>
        <v/>
      </c>
      <c r="D151" s="33"/>
      <c r="E151" s="30"/>
      <c r="F151" s="27"/>
      <c r="G151" s="38"/>
      <c r="H151" s="30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31"/>
      <c r="T151" s="31"/>
    </row>
    <row r="152" ht="11.25" customHeight="1">
      <c r="A152" s="13"/>
      <c r="B152" s="37"/>
      <c r="T152" s="37"/>
    </row>
    <row r="153" ht="11.25" customHeight="1">
      <c r="A153" s="13"/>
      <c r="B153" s="39"/>
      <c r="T153" s="39"/>
      <c r="U153" s="16"/>
    </row>
    <row r="154" ht="30.0" customHeight="1">
      <c r="A154" s="13"/>
      <c r="B154" s="66"/>
      <c r="C154" s="67" t="b">
        <v>1</v>
      </c>
      <c r="D154" s="68" t="str">
        <f>IFS(C154=FALSE, "Session 2", C154=TRUE, "Session 2 Completed", TRUE, "")</f>
        <v>Session 2 Completed</v>
      </c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82">
        <v>45642.495625</v>
      </c>
      <c r="T154" s="69"/>
      <c r="U154" s="23"/>
    </row>
    <row r="155" ht="30.0" customHeight="1">
      <c r="A155" s="13"/>
      <c r="B155" s="71"/>
      <c r="C155" s="72" t="s">
        <v>8</v>
      </c>
      <c r="D155" s="72"/>
      <c r="E155" s="73" t="s">
        <v>9</v>
      </c>
      <c r="F155" s="73" t="s">
        <v>10</v>
      </c>
      <c r="G155" s="74" t="s">
        <v>11</v>
      </c>
      <c r="H155" s="73" t="s">
        <v>12</v>
      </c>
      <c r="I155" s="73" t="s">
        <v>13</v>
      </c>
      <c r="J155" s="75"/>
      <c r="K155" s="75"/>
      <c r="L155" s="75"/>
      <c r="M155" s="75"/>
      <c r="N155" s="75"/>
      <c r="O155" s="75"/>
      <c r="P155" s="75"/>
      <c r="Q155" s="75"/>
      <c r="R155" s="75"/>
      <c r="S155" s="73" t="s">
        <v>15</v>
      </c>
      <c r="T155" s="73" t="s">
        <v>51</v>
      </c>
    </row>
    <row r="156" ht="26.25" customHeight="1">
      <c r="A156" s="13"/>
      <c r="B156" s="30" t="s">
        <v>17</v>
      </c>
      <c r="C156" s="32" t="s">
        <v>25</v>
      </c>
      <c r="D156" s="33"/>
      <c r="E156" s="30">
        <v>4.0</v>
      </c>
      <c r="F156" s="38">
        <v>10.0</v>
      </c>
      <c r="G156" s="38"/>
      <c r="H156" s="30"/>
      <c r="I156" s="41">
        <v>40.0</v>
      </c>
      <c r="J156" s="41">
        <v>40.0</v>
      </c>
      <c r="K156" s="41">
        <v>40.0</v>
      </c>
      <c r="L156" s="41">
        <v>40.0</v>
      </c>
      <c r="M156" s="41"/>
      <c r="N156" s="41"/>
      <c r="O156" s="41"/>
      <c r="P156" s="41"/>
      <c r="Q156" s="41"/>
      <c r="R156" s="41"/>
      <c r="S156" s="31"/>
      <c r="T156" s="31"/>
    </row>
    <row r="157" ht="26.25" customHeight="1">
      <c r="A157" s="13"/>
      <c r="B157" s="30" t="s">
        <v>21</v>
      </c>
      <c r="C157" s="32" t="s">
        <v>27</v>
      </c>
      <c r="D157" s="33"/>
      <c r="E157" s="30">
        <v>4.0</v>
      </c>
      <c r="F157" s="38">
        <v>10.0</v>
      </c>
      <c r="G157" s="38"/>
      <c r="H157" s="30"/>
      <c r="I157" s="42">
        <v>30.0</v>
      </c>
      <c r="J157" s="42">
        <v>30.0</v>
      </c>
      <c r="K157" s="42">
        <v>30.0</v>
      </c>
      <c r="L157" s="42">
        <v>30.0</v>
      </c>
      <c r="M157" s="42"/>
      <c r="N157" s="42"/>
      <c r="O157" s="42"/>
      <c r="P157" s="42"/>
      <c r="Q157" s="42"/>
      <c r="R157" s="42"/>
      <c r="S157" s="31"/>
      <c r="T157" s="31"/>
    </row>
    <row r="158" ht="26.25" customHeight="1">
      <c r="A158" s="13"/>
      <c r="B158" s="30" t="s">
        <v>26</v>
      </c>
      <c r="C158" s="32" t="s">
        <v>28</v>
      </c>
      <c r="D158" s="33"/>
      <c r="E158" s="30">
        <v>4.0</v>
      </c>
      <c r="F158" s="38">
        <v>10.0</v>
      </c>
      <c r="G158" s="38"/>
      <c r="H158" s="30"/>
      <c r="I158" s="42">
        <v>50.0</v>
      </c>
      <c r="J158" s="42">
        <v>50.0</v>
      </c>
      <c r="K158" s="42">
        <v>50.0</v>
      </c>
      <c r="L158" s="42">
        <v>50.0</v>
      </c>
      <c r="M158" s="42"/>
      <c r="N158" s="42"/>
      <c r="O158" s="42"/>
      <c r="P158" s="42"/>
      <c r="Q158" s="42"/>
      <c r="R158" s="42"/>
      <c r="S158" s="31"/>
      <c r="T158" s="31"/>
    </row>
    <row r="159" ht="26.25" customHeight="1">
      <c r="A159" s="13"/>
      <c r="B159" s="30"/>
      <c r="C159" s="32" t="str">
        <f>IF(D159&lt;&gt;"", HYPERLINK(VLOOKUP(D159, DATA!H:K, 4, FALSE), D159), "")</f>
        <v/>
      </c>
      <c r="D159" s="33"/>
      <c r="E159" s="30"/>
      <c r="F159" s="27"/>
      <c r="G159" s="38"/>
      <c r="H159" s="30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31"/>
      <c r="T159" s="31"/>
    </row>
    <row r="160" ht="26.25" customHeight="1">
      <c r="A160" s="13"/>
      <c r="B160" s="30"/>
      <c r="C160" s="32" t="str">
        <f>IF(D160&lt;&gt;"", HYPERLINK(VLOOKUP(D160, DATA!H:K, 4, FALSE), D160), "")</f>
        <v/>
      </c>
      <c r="D160" s="33"/>
      <c r="E160" s="30"/>
      <c r="F160" s="27"/>
      <c r="G160" s="38"/>
      <c r="H160" s="30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31"/>
      <c r="T160" s="31"/>
    </row>
    <row r="161" ht="26.25" customHeight="1">
      <c r="A161" s="13"/>
      <c r="B161" s="35"/>
      <c r="C161" s="32" t="str">
        <f>IF(D161&lt;&gt;"", HYPERLINK(VLOOKUP(D161, DATA!H:K, 4, FALSE), D161), "")</f>
        <v/>
      </c>
      <c r="D161" s="33"/>
      <c r="E161" s="30"/>
      <c r="F161" s="27"/>
      <c r="G161" s="38"/>
      <c r="H161" s="30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31"/>
      <c r="T161" s="31"/>
    </row>
    <row r="162" ht="26.25" customHeight="1">
      <c r="A162" s="13"/>
      <c r="B162" s="36"/>
      <c r="C162" s="32" t="str">
        <f>IF(D162&lt;&gt;"", HYPERLINK(VLOOKUP(D162, DATA!H:K, 4, FALSE), D162), "")</f>
        <v/>
      </c>
      <c r="D162" s="33"/>
      <c r="E162" s="30"/>
      <c r="F162" s="27"/>
      <c r="G162" s="38"/>
      <c r="H162" s="30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31"/>
      <c r="T162" s="31"/>
    </row>
    <row r="163" ht="26.25" customHeight="1">
      <c r="A163" s="13"/>
      <c r="B163" s="31"/>
      <c r="C163" s="32" t="str">
        <f>IF(D163&lt;&gt;"", HYPERLINK(VLOOKUP(D163, DATA!H:K, 4, FALSE), D163), "")</f>
        <v/>
      </c>
      <c r="D163" s="33"/>
      <c r="E163" s="30"/>
      <c r="F163" s="27"/>
      <c r="G163" s="38"/>
      <c r="H163" s="30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31"/>
      <c r="T163" s="31"/>
    </row>
    <row r="164" ht="11.25" customHeight="1">
      <c r="A164" s="13"/>
      <c r="B164" s="37"/>
      <c r="T164" s="37"/>
    </row>
    <row r="165" ht="11.25" customHeight="1">
      <c r="A165" s="13"/>
      <c r="B165" s="39"/>
      <c r="T165" s="39"/>
      <c r="U165" s="16"/>
    </row>
    <row r="166" ht="30.0" customHeight="1">
      <c r="A166" s="13"/>
      <c r="B166" s="66"/>
      <c r="C166" s="67" t="b">
        <v>1</v>
      </c>
      <c r="D166" s="68" t="str">
        <f>IFS(C166=FALSE, "Session 3", C166=TRUE, "Session 3 Completed", TRUE, "")</f>
        <v>Session 3 Completed</v>
      </c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70">
        <v>45644.0</v>
      </c>
      <c r="T166" s="69"/>
      <c r="U166" s="23"/>
    </row>
    <row r="167" ht="30.0" customHeight="1">
      <c r="A167" s="13"/>
      <c r="B167" s="71"/>
      <c r="C167" s="72" t="s">
        <v>8</v>
      </c>
      <c r="D167" s="72"/>
      <c r="E167" s="73" t="s">
        <v>9</v>
      </c>
      <c r="F167" s="73" t="s">
        <v>10</v>
      </c>
      <c r="G167" s="74" t="s">
        <v>11</v>
      </c>
      <c r="H167" s="73" t="s">
        <v>12</v>
      </c>
      <c r="I167" s="73" t="s">
        <v>13</v>
      </c>
      <c r="J167" s="75"/>
      <c r="K167" s="75"/>
      <c r="L167" s="75"/>
      <c r="M167" s="75"/>
      <c r="N167" s="75"/>
      <c r="O167" s="75"/>
      <c r="P167" s="75"/>
      <c r="Q167" s="75"/>
      <c r="R167" s="75"/>
      <c r="S167" s="73" t="s">
        <v>15</v>
      </c>
      <c r="T167" s="73" t="s">
        <v>51</v>
      </c>
    </row>
    <row r="168" ht="26.25" customHeight="1">
      <c r="A168" s="13"/>
      <c r="B168" s="30" t="s">
        <v>17</v>
      </c>
      <c r="C168" s="32" t="s">
        <v>39</v>
      </c>
      <c r="D168" s="33" t="s">
        <v>36</v>
      </c>
      <c r="E168" s="30">
        <v>4.0</v>
      </c>
      <c r="F168" s="38">
        <v>10.0</v>
      </c>
      <c r="G168" s="38"/>
      <c r="H168" s="30"/>
      <c r="I168" s="41">
        <v>20.0</v>
      </c>
      <c r="J168" s="41">
        <v>20.0</v>
      </c>
      <c r="K168" s="41">
        <v>20.0</v>
      </c>
      <c r="L168" s="41">
        <v>20.0</v>
      </c>
      <c r="M168" s="41"/>
      <c r="N168" s="41"/>
      <c r="O168" s="41"/>
      <c r="P168" s="41"/>
      <c r="Q168" s="41"/>
      <c r="R168" s="41"/>
      <c r="S168" s="30" t="s">
        <v>105</v>
      </c>
      <c r="T168" s="31"/>
    </row>
    <row r="169" ht="26.25" customHeight="1">
      <c r="A169" s="13"/>
      <c r="B169" s="30" t="s">
        <v>21</v>
      </c>
      <c r="C169" s="32" t="s">
        <v>41</v>
      </c>
      <c r="D169" s="33"/>
      <c r="E169" s="30">
        <v>4.0</v>
      </c>
      <c r="F169" s="38">
        <v>10.0</v>
      </c>
      <c r="G169" s="38"/>
      <c r="H169" s="30"/>
      <c r="I169" s="42">
        <v>40.0</v>
      </c>
      <c r="J169" s="42">
        <v>40.0</v>
      </c>
      <c r="K169" s="42">
        <v>40.0</v>
      </c>
      <c r="L169" s="42">
        <v>40.0</v>
      </c>
      <c r="M169" s="42"/>
      <c r="N169" s="42"/>
      <c r="O169" s="42"/>
      <c r="P169" s="42"/>
      <c r="Q169" s="42"/>
      <c r="R169" s="42"/>
      <c r="S169" s="30" t="s">
        <v>106</v>
      </c>
      <c r="T169" s="31"/>
    </row>
    <row r="170" ht="26.25" customHeight="1">
      <c r="A170" s="13"/>
      <c r="B170" s="30"/>
      <c r="C170" s="32" t="str">
        <f>IF(D170&lt;&gt;"", HYPERLINK(VLOOKUP(D170, DATA!H:K, 4, FALSE), D170), "")</f>
        <v/>
      </c>
      <c r="D170" s="33"/>
      <c r="E170" s="30"/>
      <c r="F170" s="27"/>
      <c r="G170" s="38"/>
      <c r="H170" s="30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31"/>
      <c r="T170" s="31"/>
    </row>
    <row r="171" ht="26.25" customHeight="1">
      <c r="A171" s="13"/>
      <c r="B171" s="30"/>
      <c r="C171" s="32" t="str">
        <f>IF(D171&lt;&gt;"", HYPERLINK(VLOOKUP(D171, DATA!H:K, 4, FALSE), D171), "")</f>
        <v/>
      </c>
      <c r="D171" s="33"/>
      <c r="E171" s="30"/>
      <c r="F171" s="27"/>
      <c r="G171" s="38"/>
      <c r="H171" s="30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31"/>
      <c r="T171" s="31"/>
    </row>
    <row r="172" ht="26.25" customHeight="1">
      <c r="A172" s="13"/>
      <c r="B172" s="30"/>
      <c r="C172" s="32" t="str">
        <f>IF(D172&lt;&gt;"", HYPERLINK(VLOOKUP(D172, DATA!H:K, 4, FALSE), D172), "")</f>
        <v/>
      </c>
      <c r="D172" s="33"/>
      <c r="E172" s="30"/>
      <c r="F172" s="27"/>
      <c r="G172" s="38"/>
      <c r="H172" s="30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31"/>
      <c r="T172" s="31"/>
    </row>
    <row r="173" ht="26.25" customHeight="1">
      <c r="A173" s="13"/>
      <c r="B173" s="35"/>
      <c r="C173" s="32" t="str">
        <f>IF(D173&lt;&gt;"", HYPERLINK(VLOOKUP(D173, DATA!H:K, 4, FALSE), D173), "")</f>
        <v/>
      </c>
      <c r="D173" s="33"/>
      <c r="E173" s="30"/>
      <c r="F173" s="27"/>
      <c r="G173" s="38"/>
      <c r="H173" s="30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31"/>
      <c r="T173" s="31"/>
    </row>
    <row r="174" ht="26.25" customHeight="1">
      <c r="A174" s="13"/>
      <c r="B174" s="36"/>
      <c r="C174" s="32" t="str">
        <f>IF(D174&lt;&gt;"", HYPERLINK(VLOOKUP(D174, DATA!H:K, 4, FALSE), D174), "")</f>
        <v/>
      </c>
      <c r="D174" s="33"/>
      <c r="E174" s="30"/>
      <c r="F174" s="27"/>
      <c r="G174" s="38"/>
      <c r="H174" s="30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31"/>
      <c r="T174" s="31"/>
    </row>
    <row r="175" ht="26.25" customHeight="1">
      <c r="A175" s="13"/>
      <c r="B175" s="31"/>
      <c r="C175" s="32" t="str">
        <f>IF(D175&lt;&gt;"", HYPERLINK(VLOOKUP(D175, DATA!H:K, 4, FALSE), D175), "")</f>
        <v/>
      </c>
      <c r="D175" s="33"/>
      <c r="E175" s="30"/>
      <c r="F175" s="27"/>
      <c r="G175" s="38"/>
      <c r="H175" s="30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31"/>
      <c r="T175" s="31"/>
    </row>
    <row r="176" ht="11.25" customHeight="1">
      <c r="A176" s="13"/>
      <c r="B176" s="37"/>
      <c r="T176" s="37"/>
    </row>
    <row r="177" ht="11.25" customHeight="1">
      <c r="A177" s="13"/>
      <c r="B177" s="39"/>
      <c r="T177" s="39"/>
      <c r="U177" s="16"/>
    </row>
    <row r="178" ht="30.0" customHeight="1">
      <c r="A178" s="13"/>
      <c r="B178" s="66"/>
      <c r="C178" s="67" t="b">
        <v>1</v>
      </c>
      <c r="D178" s="68" t="str">
        <f>IFS(C178=FALSE, "Session 4", C178=TRUE, "Session 4 Completed", TRUE, "")</f>
        <v>Session 4 Completed</v>
      </c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82">
        <v>45645.42988425926</v>
      </c>
      <c r="T178" s="69"/>
      <c r="U178" s="23"/>
    </row>
    <row r="179" ht="30.0" customHeight="1">
      <c r="A179" s="13"/>
      <c r="B179" s="71"/>
      <c r="C179" s="72" t="s">
        <v>8</v>
      </c>
      <c r="D179" s="72"/>
      <c r="E179" s="73" t="s">
        <v>9</v>
      </c>
      <c r="F179" s="73" t="s">
        <v>10</v>
      </c>
      <c r="G179" s="74" t="s">
        <v>11</v>
      </c>
      <c r="H179" s="73" t="s">
        <v>12</v>
      </c>
      <c r="I179" s="73" t="s">
        <v>13</v>
      </c>
      <c r="J179" s="75"/>
      <c r="K179" s="75"/>
      <c r="L179" s="75"/>
      <c r="M179" s="75"/>
      <c r="N179" s="75"/>
      <c r="O179" s="75"/>
      <c r="P179" s="75"/>
      <c r="Q179" s="75"/>
      <c r="R179" s="75"/>
      <c r="S179" s="73" t="s">
        <v>15</v>
      </c>
      <c r="T179" s="73" t="s">
        <v>51</v>
      </c>
    </row>
    <row r="180" ht="26.25" customHeight="1">
      <c r="A180" s="13"/>
      <c r="B180" s="30" t="s">
        <v>17</v>
      </c>
      <c r="C180" s="32" t="s">
        <v>18</v>
      </c>
      <c r="D180" s="33"/>
      <c r="E180" s="30">
        <v>4.0</v>
      </c>
      <c r="F180" s="38">
        <v>10.0</v>
      </c>
      <c r="G180" s="38"/>
      <c r="H180" s="30"/>
      <c r="I180" s="41">
        <v>55.0</v>
      </c>
      <c r="J180" s="41">
        <v>60.0</v>
      </c>
      <c r="K180" s="41">
        <v>60.0</v>
      </c>
      <c r="L180" s="41">
        <v>60.0</v>
      </c>
      <c r="M180" s="41"/>
      <c r="N180" s="41"/>
      <c r="O180" s="41"/>
      <c r="P180" s="41"/>
      <c r="Q180" s="41"/>
      <c r="R180" s="41"/>
      <c r="S180" s="31"/>
      <c r="T180" s="31"/>
    </row>
    <row r="181" ht="26.25" customHeight="1">
      <c r="A181" s="13"/>
      <c r="B181" s="30" t="s">
        <v>17</v>
      </c>
      <c r="C181" s="32" t="s">
        <v>19</v>
      </c>
      <c r="D181" s="33"/>
      <c r="E181" s="30">
        <v>4.0</v>
      </c>
      <c r="F181" s="38">
        <v>10.0</v>
      </c>
      <c r="G181" s="38"/>
      <c r="H181" s="30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30" t="s">
        <v>20</v>
      </c>
      <c r="T181" s="31"/>
    </row>
    <row r="182" ht="26.25" customHeight="1">
      <c r="A182" s="13"/>
      <c r="B182" s="30" t="s">
        <v>21</v>
      </c>
      <c r="C182" s="32" t="s">
        <v>22</v>
      </c>
      <c r="D182" s="33"/>
      <c r="E182" s="30">
        <v>4.0</v>
      </c>
      <c r="F182" s="38">
        <v>10.0</v>
      </c>
      <c r="G182" s="38"/>
      <c r="H182" s="30"/>
      <c r="I182" s="42">
        <v>35.0</v>
      </c>
      <c r="J182" s="42">
        <v>35.0</v>
      </c>
      <c r="K182" s="42">
        <v>35.0</v>
      </c>
      <c r="L182" s="42">
        <v>35.0</v>
      </c>
      <c r="M182" s="42"/>
      <c r="N182" s="42"/>
      <c r="O182" s="42"/>
      <c r="P182" s="42"/>
      <c r="Q182" s="42"/>
      <c r="R182" s="42"/>
      <c r="S182" s="31"/>
      <c r="T182" s="31"/>
    </row>
    <row r="183" ht="26.25" customHeight="1">
      <c r="A183" s="13"/>
      <c r="B183" s="30" t="s">
        <v>21</v>
      </c>
      <c r="C183" s="32" t="s">
        <v>23</v>
      </c>
      <c r="D183" s="33"/>
      <c r="E183" s="30">
        <v>4.0</v>
      </c>
      <c r="F183" s="38">
        <v>10.0</v>
      </c>
      <c r="G183" s="38"/>
      <c r="H183" s="30"/>
      <c r="I183" s="42">
        <v>35.0</v>
      </c>
      <c r="J183" s="42">
        <v>35.0</v>
      </c>
      <c r="K183" s="42">
        <v>35.0</v>
      </c>
      <c r="L183" s="42">
        <v>35.0</v>
      </c>
      <c r="M183" s="42"/>
      <c r="N183" s="42"/>
      <c r="O183" s="42"/>
      <c r="P183" s="42"/>
      <c r="Q183" s="42"/>
      <c r="R183" s="42"/>
      <c r="S183" s="30"/>
      <c r="T183" s="31"/>
    </row>
    <row r="184" ht="26.25" customHeight="1">
      <c r="A184" s="13"/>
      <c r="B184" s="30"/>
      <c r="C184" s="32" t="str">
        <f>IF(D184&lt;&gt;"", HYPERLINK(VLOOKUP(D184, DATA!H:K, 4, FALSE), D184), "")</f>
        <v/>
      </c>
      <c r="D184" s="33"/>
      <c r="E184" s="30"/>
      <c r="F184" s="27"/>
      <c r="G184" s="38"/>
      <c r="H184" s="30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31"/>
      <c r="T184" s="31"/>
    </row>
    <row r="185" ht="26.25" customHeight="1">
      <c r="A185" s="13"/>
      <c r="B185" s="35"/>
      <c r="C185" s="32" t="str">
        <f>IF(D185&lt;&gt;"", HYPERLINK(VLOOKUP(D185, DATA!H:K, 4, FALSE), D185), "")</f>
        <v/>
      </c>
      <c r="D185" s="33"/>
      <c r="E185" s="30"/>
      <c r="F185" s="27"/>
      <c r="G185" s="38"/>
      <c r="H185" s="30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31"/>
      <c r="T185" s="31"/>
    </row>
    <row r="186" ht="26.25" customHeight="1">
      <c r="A186" s="13"/>
      <c r="B186" s="36"/>
      <c r="C186" s="32" t="str">
        <f>IF(D186&lt;&gt;"", HYPERLINK(VLOOKUP(D186, DATA!H:K, 4, FALSE), D186), "")</f>
        <v/>
      </c>
      <c r="D186" s="33"/>
      <c r="E186" s="30"/>
      <c r="F186" s="27"/>
      <c r="G186" s="38"/>
      <c r="H186" s="30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31"/>
      <c r="T186" s="31"/>
    </row>
    <row r="187" ht="26.25" customHeight="1">
      <c r="A187" s="13"/>
      <c r="B187" s="31"/>
      <c r="C187" s="32" t="str">
        <f>IF(D187&lt;&gt;"", HYPERLINK(VLOOKUP(D187, DATA!H:K, 4, FALSE), D187), "")</f>
        <v/>
      </c>
      <c r="D187" s="33"/>
      <c r="E187" s="30"/>
      <c r="F187" s="27"/>
      <c r="G187" s="38"/>
      <c r="H187" s="30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31"/>
      <c r="T187" s="31"/>
    </row>
    <row r="188" ht="11.25" customHeight="1">
      <c r="A188" s="13"/>
      <c r="B188" s="37"/>
      <c r="T188" s="37"/>
    </row>
    <row r="189" ht="11.25" customHeight="1">
      <c r="A189" s="13"/>
      <c r="B189" s="39"/>
      <c r="T189" s="39"/>
      <c r="U189" s="16"/>
    </row>
    <row r="190" ht="30.0" customHeight="1">
      <c r="A190" s="13"/>
      <c r="B190" s="66"/>
      <c r="C190" s="67" t="b">
        <v>1</v>
      </c>
      <c r="D190" s="68" t="str">
        <f>IFS(C190=FALSE, "Session 5", C190=TRUE, "Session 5 Completed", TRUE, "")</f>
        <v>Session 5 Completed</v>
      </c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82">
        <v>45646.367418981485</v>
      </c>
      <c r="T190" s="69"/>
      <c r="U190" s="23"/>
    </row>
    <row r="191" ht="30.0" customHeight="1">
      <c r="A191" s="13"/>
      <c r="B191" s="71"/>
      <c r="C191" s="72" t="s">
        <v>8</v>
      </c>
      <c r="D191" s="72"/>
      <c r="E191" s="73" t="s">
        <v>9</v>
      </c>
      <c r="F191" s="73" t="s">
        <v>10</v>
      </c>
      <c r="G191" s="74" t="s">
        <v>11</v>
      </c>
      <c r="H191" s="73" t="s">
        <v>12</v>
      </c>
      <c r="I191" s="73" t="s">
        <v>13</v>
      </c>
      <c r="J191" s="75"/>
      <c r="K191" s="75"/>
      <c r="L191" s="75"/>
      <c r="M191" s="75"/>
      <c r="N191" s="75"/>
      <c r="O191" s="75"/>
      <c r="P191" s="75"/>
      <c r="Q191" s="75"/>
      <c r="R191" s="75"/>
      <c r="S191" s="73" t="s">
        <v>15</v>
      </c>
      <c r="T191" s="73" t="s">
        <v>51</v>
      </c>
    </row>
    <row r="192" ht="26.25" customHeight="1">
      <c r="A192" s="13"/>
      <c r="B192" s="30" t="s">
        <v>17</v>
      </c>
      <c r="C192" s="32" t="s">
        <v>25</v>
      </c>
      <c r="D192" s="33"/>
      <c r="E192" s="30">
        <v>4.0</v>
      </c>
      <c r="F192" s="38">
        <v>8.0</v>
      </c>
      <c r="G192" s="38"/>
      <c r="H192" s="30"/>
      <c r="I192" s="41">
        <v>40.0</v>
      </c>
      <c r="J192" s="41">
        <v>40.0</v>
      </c>
      <c r="K192" s="41">
        <v>40.0</v>
      </c>
      <c r="L192" s="41">
        <v>40.0</v>
      </c>
      <c r="M192" s="41"/>
      <c r="N192" s="41"/>
      <c r="O192" s="41"/>
      <c r="P192" s="41"/>
      <c r="Q192" s="41"/>
      <c r="R192" s="41"/>
      <c r="S192" s="30" t="s">
        <v>107</v>
      </c>
      <c r="T192" s="31"/>
    </row>
    <row r="193" ht="26.25" customHeight="1">
      <c r="A193" s="13"/>
      <c r="B193" s="30" t="s">
        <v>21</v>
      </c>
      <c r="C193" s="32" t="s">
        <v>108</v>
      </c>
      <c r="D193" s="33"/>
      <c r="E193" s="30">
        <v>4.0</v>
      </c>
      <c r="F193" s="38">
        <v>10.0</v>
      </c>
      <c r="G193" s="38"/>
      <c r="H193" s="30"/>
      <c r="I193" s="42">
        <v>50.0</v>
      </c>
      <c r="J193" s="42">
        <v>50.0</v>
      </c>
      <c r="K193" s="42">
        <v>50.0</v>
      </c>
      <c r="L193" s="42">
        <v>50.0</v>
      </c>
      <c r="M193" s="42"/>
      <c r="N193" s="42"/>
      <c r="O193" s="42"/>
      <c r="P193" s="42"/>
      <c r="Q193" s="42"/>
      <c r="R193" s="42"/>
      <c r="S193" s="31"/>
      <c r="T193" s="31"/>
    </row>
    <row r="194" ht="26.25" customHeight="1">
      <c r="A194" s="13"/>
      <c r="B194" s="30"/>
      <c r="C194" s="32"/>
      <c r="D194" s="33"/>
      <c r="E194" s="30"/>
      <c r="F194" s="38"/>
      <c r="G194" s="38"/>
      <c r="H194" s="30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30" t="s">
        <v>109</v>
      </c>
      <c r="T194" s="31"/>
    </row>
    <row r="195" ht="26.25" customHeight="1">
      <c r="A195" s="13"/>
      <c r="B195" s="30"/>
      <c r="C195" s="32" t="str">
        <f>IF(D195&lt;&gt;"", HYPERLINK(VLOOKUP(D195, DATA!H:K, 4, FALSE), D195), "")</f>
        <v/>
      </c>
      <c r="D195" s="33"/>
      <c r="E195" s="30"/>
      <c r="F195" s="27"/>
      <c r="G195" s="38"/>
      <c r="H195" s="30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31"/>
      <c r="T195" s="31"/>
    </row>
    <row r="196" ht="26.25" customHeight="1">
      <c r="A196" s="13"/>
      <c r="B196" s="30"/>
      <c r="C196" s="32" t="str">
        <f>IF(D196&lt;&gt;"", HYPERLINK(VLOOKUP(D196, DATA!H:K, 4, FALSE), D196), "")</f>
        <v/>
      </c>
      <c r="D196" s="33"/>
      <c r="E196" s="30"/>
      <c r="F196" s="27"/>
      <c r="G196" s="38"/>
      <c r="H196" s="30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31"/>
      <c r="T196" s="31"/>
    </row>
    <row r="197" ht="26.25" customHeight="1">
      <c r="A197" s="13"/>
      <c r="B197" s="35"/>
      <c r="C197" s="32" t="str">
        <f>IF(D197&lt;&gt;"", HYPERLINK(VLOOKUP(D197, DATA!H:K, 4, FALSE), D197), "")</f>
        <v/>
      </c>
      <c r="D197" s="33"/>
      <c r="E197" s="30"/>
      <c r="F197" s="27"/>
      <c r="G197" s="38"/>
      <c r="H197" s="30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31"/>
      <c r="T197" s="31"/>
    </row>
    <row r="198" ht="26.25" customHeight="1">
      <c r="A198" s="13"/>
      <c r="B198" s="36"/>
      <c r="C198" s="32" t="str">
        <f>IF(D198&lt;&gt;"", HYPERLINK(VLOOKUP(D198, DATA!H:K, 4, FALSE), D198), "")</f>
        <v/>
      </c>
      <c r="D198" s="33"/>
      <c r="E198" s="30"/>
      <c r="F198" s="27"/>
      <c r="G198" s="38"/>
      <c r="H198" s="30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31"/>
      <c r="T198" s="31"/>
    </row>
    <row r="199" ht="26.25" customHeight="1">
      <c r="A199" s="13"/>
      <c r="B199" s="31"/>
      <c r="C199" s="32" t="str">
        <f>IF(D199&lt;&gt;"", HYPERLINK(VLOOKUP(D199, DATA!H:K, 4, FALSE), D199), "")</f>
        <v/>
      </c>
      <c r="D199" s="33"/>
      <c r="E199" s="30"/>
      <c r="F199" s="27"/>
      <c r="G199" s="38"/>
      <c r="H199" s="30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31"/>
      <c r="T199" s="31"/>
    </row>
    <row r="200" ht="11.25" customHeight="1">
      <c r="A200" s="13"/>
      <c r="B200" s="37"/>
      <c r="T200" s="37"/>
    </row>
    <row r="201" ht="11.25" customHeight="1">
      <c r="A201" s="13"/>
      <c r="B201" s="39"/>
      <c r="T201" s="39"/>
      <c r="U201" s="16"/>
    </row>
    <row r="202" ht="30.0" customHeight="1">
      <c r="A202" s="13"/>
      <c r="B202" s="66"/>
      <c r="C202" s="67" t="b">
        <v>1</v>
      </c>
      <c r="D202" s="68" t="str">
        <f>IFS(C202=FALSE, "Session 6", C202=TRUE, "Session 6 Completed", TRUE, "")</f>
        <v>Session 6 Completed</v>
      </c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70">
        <v>45659.0</v>
      </c>
      <c r="T202" s="69"/>
      <c r="U202" s="44"/>
    </row>
    <row r="203" ht="30.0" customHeight="1">
      <c r="A203" s="13"/>
      <c r="B203" s="71"/>
      <c r="C203" s="72" t="s">
        <v>8</v>
      </c>
      <c r="D203" s="72"/>
      <c r="E203" s="73" t="s">
        <v>9</v>
      </c>
      <c r="F203" s="73" t="s">
        <v>10</v>
      </c>
      <c r="G203" s="74" t="s">
        <v>11</v>
      </c>
      <c r="H203" s="73" t="s">
        <v>12</v>
      </c>
      <c r="I203" s="73" t="s">
        <v>13</v>
      </c>
      <c r="J203" s="75"/>
      <c r="K203" s="75"/>
      <c r="L203" s="75"/>
      <c r="M203" s="75"/>
      <c r="N203" s="75"/>
      <c r="O203" s="75"/>
      <c r="P203" s="75"/>
      <c r="Q203" s="75"/>
      <c r="R203" s="75"/>
      <c r="S203" s="73" t="s">
        <v>15</v>
      </c>
      <c r="T203" s="73" t="s">
        <v>51</v>
      </c>
      <c r="U203" s="44"/>
    </row>
    <row r="204" ht="26.25" customHeight="1">
      <c r="A204" s="13"/>
      <c r="B204" s="83" t="s">
        <v>17</v>
      </c>
      <c r="C204" s="84" t="s">
        <v>18</v>
      </c>
      <c r="D204" s="85"/>
      <c r="E204" s="83">
        <v>4.0</v>
      </c>
      <c r="F204" s="86">
        <v>10.0</v>
      </c>
      <c r="G204" s="86"/>
      <c r="H204" s="83"/>
      <c r="I204" s="87">
        <v>55.0</v>
      </c>
      <c r="J204" s="87">
        <v>60.0</v>
      </c>
      <c r="K204" s="87">
        <v>60.0</v>
      </c>
      <c r="L204" s="87">
        <v>60.0</v>
      </c>
      <c r="M204" s="87"/>
      <c r="N204" s="87"/>
      <c r="O204" s="87"/>
      <c r="P204" s="87"/>
      <c r="Q204" s="87"/>
      <c r="R204" s="87"/>
      <c r="S204" s="88"/>
      <c r="T204" s="31"/>
      <c r="U204" s="45"/>
    </row>
    <row r="205" ht="26.25" customHeight="1">
      <c r="A205" s="13"/>
      <c r="B205" s="83" t="s">
        <v>17</v>
      </c>
      <c r="C205" s="84" t="s">
        <v>19</v>
      </c>
      <c r="D205" s="85"/>
      <c r="E205" s="83">
        <v>4.0</v>
      </c>
      <c r="F205" s="86">
        <v>10.0</v>
      </c>
      <c r="G205" s="86"/>
      <c r="H205" s="83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8" t="s">
        <v>20</v>
      </c>
      <c r="T205" s="31"/>
      <c r="U205" s="45"/>
    </row>
    <row r="206" ht="26.25" customHeight="1">
      <c r="A206" s="13"/>
      <c r="B206" s="83" t="s">
        <v>21</v>
      </c>
      <c r="C206" s="84" t="s">
        <v>22</v>
      </c>
      <c r="D206" s="85"/>
      <c r="E206" s="83">
        <v>4.0</v>
      </c>
      <c r="F206" s="86">
        <v>10.0</v>
      </c>
      <c r="G206" s="86"/>
      <c r="H206" s="83"/>
      <c r="I206" s="89">
        <v>35.0</v>
      </c>
      <c r="J206" s="89">
        <v>35.0</v>
      </c>
      <c r="K206" s="89">
        <v>35.0</v>
      </c>
      <c r="L206" s="89">
        <v>35.0</v>
      </c>
      <c r="M206" s="89"/>
      <c r="N206" s="89"/>
      <c r="O206" s="89"/>
      <c r="P206" s="89"/>
      <c r="Q206" s="89"/>
      <c r="R206" s="89"/>
      <c r="S206" s="88"/>
      <c r="T206" s="31"/>
      <c r="U206" s="45"/>
    </row>
    <row r="207" ht="26.25" customHeight="1">
      <c r="A207" s="13"/>
      <c r="B207" s="83" t="s">
        <v>21</v>
      </c>
      <c r="C207" s="84" t="s">
        <v>23</v>
      </c>
      <c r="D207" s="85"/>
      <c r="E207" s="83">
        <v>4.0</v>
      </c>
      <c r="F207" s="86">
        <v>10.0</v>
      </c>
      <c r="G207" s="86"/>
      <c r="H207" s="83"/>
      <c r="I207" s="89">
        <v>35.0</v>
      </c>
      <c r="J207" s="89">
        <v>35.0</v>
      </c>
      <c r="K207" s="89">
        <v>35.0</v>
      </c>
      <c r="L207" s="89">
        <v>35.0</v>
      </c>
      <c r="M207" s="89"/>
      <c r="N207" s="89"/>
      <c r="O207" s="89"/>
      <c r="P207" s="89"/>
      <c r="Q207" s="89"/>
      <c r="R207" s="89"/>
      <c r="S207" s="88"/>
      <c r="T207" s="31"/>
      <c r="U207" s="45"/>
    </row>
    <row r="208" ht="26.25" customHeight="1">
      <c r="A208" s="13"/>
      <c r="B208" s="30"/>
      <c r="C208" s="32" t="str">
        <f>IF(D208&lt;&gt;"", HYPERLINK(VLOOKUP(D208, DATA!H:K, 4, FALSE), D208), "")</f>
        <v/>
      </c>
      <c r="D208" s="33"/>
      <c r="E208" s="30"/>
      <c r="F208" s="27"/>
      <c r="G208" s="38"/>
      <c r="H208" s="30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31"/>
      <c r="T208" s="31"/>
      <c r="U208" s="45"/>
    </row>
    <row r="209" ht="26.25" customHeight="1">
      <c r="A209" s="13"/>
      <c r="B209" s="35"/>
      <c r="C209" s="32" t="str">
        <f>IF(D209&lt;&gt;"", HYPERLINK(VLOOKUP(D209, DATA!H:K, 4, FALSE), D209), "")</f>
        <v/>
      </c>
      <c r="D209" s="33"/>
      <c r="E209" s="30"/>
      <c r="F209" s="27"/>
      <c r="G209" s="38"/>
      <c r="H209" s="30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31"/>
      <c r="T209" s="31"/>
      <c r="U209" s="45"/>
    </row>
    <row r="210" ht="26.25" customHeight="1">
      <c r="A210" s="13"/>
      <c r="B210" s="36"/>
      <c r="C210" s="32" t="str">
        <f>IF(D210&lt;&gt;"", HYPERLINK(VLOOKUP(D210, DATA!H:K, 4, FALSE), D210), "")</f>
        <v/>
      </c>
      <c r="D210" s="33"/>
      <c r="E210" s="30"/>
      <c r="F210" s="27"/>
      <c r="G210" s="38"/>
      <c r="H210" s="30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31"/>
      <c r="T210" s="31"/>
      <c r="U210" s="45"/>
    </row>
    <row r="211" ht="26.25" customHeight="1">
      <c r="A211" s="13"/>
      <c r="B211" s="31"/>
      <c r="C211" s="32" t="str">
        <f>IF(D211&lt;&gt;"", HYPERLINK(VLOOKUP(D211, DATA!H:K, 4, FALSE), D211), "")</f>
        <v/>
      </c>
      <c r="D211" s="33"/>
      <c r="E211" s="30"/>
      <c r="F211" s="27"/>
      <c r="G211" s="38"/>
      <c r="H211" s="30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31"/>
      <c r="T211" s="31"/>
      <c r="U211" s="45"/>
    </row>
    <row r="212" ht="11.25" customHeight="1">
      <c r="A212" s="13"/>
      <c r="B212" s="37"/>
      <c r="T212" s="37"/>
      <c r="U212" s="46"/>
    </row>
    <row r="213" ht="45.0" customHeight="1">
      <c r="A213" s="13"/>
      <c r="B213" s="14" t="s">
        <v>6</v>
      </c>
      <c r="U213" s="13"/>
    </row>
    <row r="214" ht="30.0" customHeight="1">
      <c r="A214" s="13"/>
      <c r="B214" s="66"/>
      <c r="C214" s="67" t="b">
        <v>1</v>
      </c>
      <c r="D214" s="68" t="str">
        <f>IFS(C214=FALSE, "Session 1", C214=TRUE, "Session 1 Completed", TRUE, "")</f>
        <v>Session 1 Completed</v>
      </c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70">
        <v>45660.0</v>
      </c>
      <c r="T214" s="69"/>
      <c r="U214" s="23" t="s">
        <v>110</v>
      </c>
    </row>
    <row r="215" ht="30.0" customHeight="1">
      <c r="A215" s="13"/>
      <c r="B215" s="71"/>
      <c r="C215" s="72" t="s">
        <v>8</v>
      </c>
      <c r="D215" s="72"/>
      <c r="E215" s="73" t="s">
        <v>9</v>
      </c>
      <c r="F215" s="73" t="s">
        <v>10</v>
      </c>
      <c r="G215" s="74" t="s">
        <v>11</v>
      </c>
      <c r="H215" s="73" t="s">
        <v>12</v>
      </c>
      <c r="I215" s="73" t="s">
        <v>13</v>
      </c>
      <c r="J215" s="75"/>
      <c r="K215" s="75"/>
      <c r="L215" s="75"/>
      <c r="M215" s="75"/>
      <c r="N215" s="75"/>
      <c r="O215" s="75"/>
      <c r="P215" s="75"/>
      <c r="Q215" s="75"/>
      <c r="R215" s="75"/>
      <c r="S215" s="73" t="s">
        <v>15</v>
      </c>
      <c r="T215" s="73" t="s">
        <v>51</v>
      </c>
    </row>
    <row r="216" ht="26.25" customHeight="1">
      <c r="A216" s="13"/>
      <c r="B216" s="83" t="s">
        <v>17</v>
      </c>
      <c r="C216" s="84" t="s">
        <v>25</v>
      </c>
      <c r="D216" s="85"/>
      <c r="E216" s="83">
        <v>4.0</v>
      </c>
      <c r="F216" s="86">
        <v>10.0</v>
      </c>
      <c r="G216" s="86"/>
      <c r="H216" s="83"/>
      <c r="I216" s="87">
        <v>40.0</v>
      </c>
      <c r="J216" s="87">
        <v>40.0</v>
      </c>
      <c r="K216" s="90">
        <v>35.0</v>
      </c>
      <c r="L216" s="90">
        <v>35.0</v>
      </c>
      <c r="M216" s="41"/>
      <c r="N216" s="41"/>
      <c r="O216" s="41"/>
      <c r="P216" s="41"/>
      <c r="Q216" s="41"/>
      <c r="R216" s="41"/>
      <c r="S216" s="30" t="s">
        <v>111</v>
      </c>
      <c r="T216" s="31"/>
    </row>
    <row r="217" ht="26.25" customHeight="1">
      <c r="A217" s="13"/>
      <c r="B217" s="83" t="s">
        <v>21</v>
      </c>
      <c r="C217" s="84" t="s">
        <v>27</v>
      </c>
      <c r="D217" s="85"/>
      <c r="E217" s="83">
        <v>4.0</v>
      </c>
      <c r="F217" s="86">
        <v>10.0</v>
      </c>
      <c r="G217" s="86"/>
      <c r="H217" s="83"/>
      <c r="I217" s="89">
        <v>30.0</v>
      </c>
      <c r="J217" s="89">
        <v>30.0</v>
      </c>
      <c r="K217" s="89">
        <v>30.0</v>
      </c>
      <c r="L217" s="89">
        <v>30.0</v>
      </c>
      <c r="M217" s="42"/>
      <c r="N217" s="42"/>
      <c r="O217" s="42"/>
      <c r="P217" s="42"/>
      <c r="Q217" s="42"/>
      <c r="R217" s="42"/>
      <c r="S217" s="31"/>
      <c r="T217" s="31"/>
    </row>
    <row r="218" ht="26.25" customHeight="1">
      <c r="A218" s="13"/>
      <c r="B218" s="83" t="s">
        <v>26</v>
      </c>
      <c r="C218" s="84" t="s">
        <v>28</v>
      </c>
      <c r="D218" s="85"/>
      <c r="E218" s="83">
        <v>4.0</v>
      </c>
      <c r="F218" s="86">
        <v>10.0</v>
      </c>
      <c r="G218" s="86"/>
      <c r="H218" s="83"/>
      <c r="I218" s="89">
        <v>50.0</v>
      </c>
      <c r="J218" s="89">
        <v>50.0</v>
      </c>
      <c r="K218" s="89">
        <v>50.0</v>
      </c>
      <c r="L218" s="89">
        <v>50.0</v>
      </c>
      <c r="M218" s="42"/>
      <c r="N218" s="42"/>
      <c r="O218" s="42"/>
      <c r="P218" s="42"/>
      <c r="Q218" s="42"/>
      <c r="R218" s="42"/>
      <c r="S218" s="31"/>
      <c r="T218" s="31"/>
    </row>
    <row r="219" ht="26.25" customHeight="1">
      <c r="A219" s="13"/>
      <c r="B219" s="30"/>
      <c r="C219" s="32" t="str">
        <f>IF(D219&lt;&gt;"", HYPERLINK(VLOOKUP(D219, DATA!H:K, 4, FALSE), D219), "")</f>
        <v/>
      </c>
      <c r="D219" s="33"/>
      <c r="E219" s="30"/>
      <c r="F219" s="27"/>
      <c r="G219" s="38"/>
      <c r="H219" s="30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31"/>
      <c r="T219" s="31"/>
    </row>
    <row r="220" ht="26.25" customHeight="1">
      <c r="A220" s="13"/>
      <c r="B220" s="30"/>
      <c r="C220" s="32" t="str">
        <f>IF(D220&lt;&gt;"", HYPERLINK(VLOOKUP(D220, DATA!H:K, 4, FALSE), D220), "")</f>
        <v/>
      </c>
      <c r="D220" s="33"/>
      <c r="E220" s="30"/>
      <c r="F220" s="27"/>
      <c r="G220" s="38"/>
      <c r="H220" s="30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31"/>
      <c r="T220" s="31"/>
    </row>
    <row r="221" ht="26.25" customHeight="1">
      <c r="A221" s="13"/>
      <c r="B221" s="35"/>
      <c r="C221" s="32" t="str">
        <f>IF(D221&lt;&gt;"", HYPERLINK(VLOOKUP(D221, DATA!H:K, 4, FALSE), D221), "")</f>
        <v/>
      </c>
      <c r="D221" s="33"/>
      <c r="E221" s="30"/>
      <c r="F221" s="27"/>
      <c r="G221" s="38"/>
      <c r="H221" s="30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31"/>
      <c r="T221" s="31"/>
    </row>
    <row r="222" ht="26.25" customHeight="1">
      <c r="A222" s="13"/>
      <c r="B222" s="36"/>
      <c r="C222" s="32" t="str">
        <f>IF(D222&lt;&gt;"", HYPERLINK(VLOOKUP(D222, DATA!H:K, 4, FALSE), D222), "")</f>
        <v/>
      </c>
      <c r="D222" s="33"/>
      <c r="E222" s="30"/>
      <c r="F222" s="27"/>
      <c r="G222" s="38"/>
      <c r="H222" s="30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31"/>
      <c r="T222" s="31"/>
    </row>
    <row r="223" ht="26.25" customHeight="1">
      <c r="A223" s="13"/>
      <c r="B223" s="31"/>
      <c r="C223" s="32" t="str">
        <f>IF(D223&lt;&gt;"", HYPERLINK(VLOOKUP(D223, DATA!H:K, 4, FALSE), D223), "")</f>
        <v/>
      </c>
      <c r="D223" s="33"/>
      <c r="E223" s="30"/>
      <c r="F223" s="27"/>
      <c r="G223" s="38"/>
      <c r="H223" s="30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31"/>
      <c r="T223" s="31"/>
    </row>
    <row r="224" ht="11.25" customHeight="1">
      <c r="A224" s="13"/>
      <c r="B224" s="37"/>
      <c r="T224" s="37"/>
    </row>
    <row r="225" ht="11.25" customHeight="1">
      <c r="A225" s="13"/>
      <c r="B225" s="39"/>
      <c r="T225" s="39"/>
      <c r="U225" s="16"/>
    </row>
    <row r="226" ht="30.0" customHeight="1">
      <c r="A226" s="13"/>
      <c r="B226" s="66"/>
      <c r="C226" s="67" t="b">
        <v>1</v>
      </c>
      <c r="D226" s="68" t="str">
        <f>IFS(C226=FALSE, "Session 2", C226=TRUE, "Session 2 Completed", TRUE, "")</f>
        <v>Session 2 Completed</v>
      </c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70">
        <v>45661.0</v>
      </c>
      <c r="T226" s="69"/>
      <c r="U226" s="23"/>
    </row>
    <row r="227" ht="30.0" customHeight="1">
      <c r="A227" s="13"/>
      <c r="B227" s="71"/>
      <c r="C227" s="72" t="s">
        <v>8</v>
      </c>
      <c r="D227" s="72"/>
      <c r="E227" s="73" t="s">
        <v>9</v>
      </c>
      <c r="F227" s="73" t="s">
        <v>10</v>
      </c>
      <c r="G227" s="74" t="s">
        <v>11</v>
      </c>
      <c r="H227" s="73" t="s">
        <v>12</v>
      </c>
      <c r="I227" s="73" t="s">
        <v>13</v>
      </c>
      <c r="J227" s="75"/>
      <c r="K227" s="75"/>
      <c r="L227" s="75"/>
      <c r="M227" s="75"/>
      <c r="N227" s="75"/>
      <c r="O227" s="75"/>
      <c r="P227" s="75"/>
      <c r="Q227" s="75"/>
      <c r="R227" s="75"/>
      <c r="S227" s="73" t="s">
        <v>15</v>
      </c>
      <c r="T227" s="73" t="s">
        <v>51</v>
      </c>
    </row>
    <row r="228" ht="26.25" customHeight="1">
      <c r="A228" s="13"/>
      <c r="B228" s="30" t="s">
        <v>17</v>
      </c>
      <c r="C228" s="32" t="s">
        <v>39</v>
      </c>
      <c r="D228" s="33" t="s">
        <v>36</v>
      </c>
      <c r="E228" s="30">
        <v>4.0</v>
      </c>
      <c r="F228" s="38">
        <v>10.0</v>
      </c>
      <c r="G228" s="38"/>
      <c r="H228" s="30"/>
      <c r="I228" s="41">
        <v>15.0</v>
      </c>
      <c r="J228" s="41">
        <v>17.5</v>
      </c>
      <c r="K228" s="41">
        <v>20.0</v>
      </c>
      <c r="L228" s="41">
        <v>20.0</v>
      </c>
      <c r="M228" s="41"/>
      <c r="N228" s="41"/>
      <c r="O228" s="41"/>
      <c r="P228" s="41"/>
      <c r="Q228" s="41"/>
      <c r="R228" s="41"/>
      <c r="S228" s="30" t="s">
        <v>112</v>
      </c>
      <c r="T228" s="31"/>
    </row>
    <row r="229" ht="26.25" customHeight="1">
      <c r="A229" s="13"/>
      <c r="B229" s="30" t="s">
        <v>21</v>
      </c>
      <c r="C229" s="32" t="s">
        <v>41</v>
      </c>
      <c r="D229" s="33"/>
      <c r="E229" s="30">
        <v>4.0</v>
      </c>
      <c r="F229" s="38">
        <v>10.0</v>
      </c>
      <c r="G229" s="38"/>
      <c r="H229" s="30"/>
      <c r="I229" s="42">
        <v>40.0</v>
      </c>
      <c r="J229" s="42">
        <v>40.0</v>
      </c>
      <c r="K229" s="42">
        <v>40.0</v>
      </c>
      <c r="L229" s="42">
        <v>40.0</v>
      </c>
      <c r="M229" s="42"/>
      <c r="N229" s="42"/>
      <c r="O229" s="42"/>
      <c r="P229" s="42"/>
      <c r="Q229" s="42"/>
      <c r="R229" s="42"/>
      <c r="S229" s="30" t="s">
        <v>106</v>
      </c>
      <c r="T229" s="31"/>
    </row>
    <row r="230" ht="26.25" customHeight="1">
      <c r="A230" s="13"/>
      <c r="B230" s="30"/>
      <c r="C230" s="32" t="str">
        <f>IF(D230&lt;&gt;"", HYPERLINK(VLOOKUP(D230, DATA!H:K, 4, FALSE), D230), "")</f>
        <v/>
      </c>
      <c r="D230" s="33"/>
      <c r="E230" s="30"/>
      <c r="F230" s="27"/>
      <c r="G230" s="38"/>
      <c r="H230" s="30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31"/>
      <c r="T230" s="31"/>
    </row>
    <row r="231" ht="26.25" customHeight="1">
      <c r="A231" s="13"/>
      <c r="B231" s="30"/>
      <c r="C231" s="32" t="str">
        <f>IF(D231&lt;&gt;"", HYPERLINK(VLOOKUP(D231, DATA!H:K, 4, FALSE), D231), "")</f>
        <v/>
      </c>
      <c r="D231" s="33"/>
      <c r="E231" s="30"/>
      <c r="F231" s="27"/>
      <c r="G231" s="38"/>
      <c r="H231" s="30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31"/>
      <c r="T231" s="31"/>
    </row>
    <row r="232" ht="26.25" customHeight="1">
      <c r="A232" s="13"/>
      <c r="B232" s="30"/>
      <c r="C232" s="32" t="str">
        <f>IF(D232&lt;&gt;"", HYPERLINK(VLOOKUP(D232, DATA!H:K, 4, FALSE), D232), "")</f>
        <v/>
      </c>
      <c r="D232" s="33"/>
      <c r="E232" s="30"/>
      <c r="F232" s="27"/>
      <c r="G232" s="38"/>
      <c r="H232" s="30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31"/>
      <c r="T232" s="31"/>
    </row>
    <row r="233" ht="26.25" customHeight="1">
      <c r="A233" s="13"/>
      <c r="B233" s="35"/>
      <c r="C233" s="32" t="str">
        <f>IF(D233&lt;&gt;"", HYPERLINK(VLOOKUP(D233, DATA!H:K, 4, FALSE), D233), "")</f>
        <v/>
      </c>
      <c r="D233" s="33"/>
      <c r="E233" s="30"/>
      <c r="F233" s="27"/>
      <c r="G233" s="38"/>
      <c r="H233" s="30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31"/>
      <c r="T233" s="31"/>
    </row>
    <row r="234" ht="26.25" customHeight="1">
      <c r="A234" s="13"/>
      <c r="B234" s="36"/>
      <c r="C234" s="32" t="str">
        <f>IF(D234&lt;&gt;"", HYPERLINK(VLOOKUP(D234, DATA!H:K, 4, FALSE), D234), "")</f>
        <v/>
      </c>
      <c r="D234" s="33"/>
      <c r="E234" s="30"/>
      <c r="F234" s="27"/>
      <c r="G234" s="38"/>
      <c r="H234" s="30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31"/>
      <c r="T234" s="31"/>
    </row>
    <row r="235" ht="26.25" customHeight="1">
      <c r="A235" s="13"/>
      <c r="B235" s="31"/>
      <c r="C235" s="32" t="str">
        <f>IF(D235&lt;&gt;"", HYPERLINK(VLOOKUP(D235, DATA!H:K, 4, FALSE), D235), "")</f>
        <v/>
      </c>
      <c r="D235" s="33"/>
      <c r="E235" s="30"/>
      <c r="F235" s="27"/>
      <c r="G235" s="38"/>
      <c r="H235" s="30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31"/>
      <c r="T235" s="31"/>
    </row>
    <row r="236" ht="11.25" customHeight="1">
      <c r="A236" s="13"/>
      <c r="B236" s="37"/>
      <c r="T236" s="37"/>
    </row>
    <row r="237" ht="11.25" customHeight="1">
      <c r="A237" s="13"/>
      <c r="B237" s="39"/>
      <c r="T237" s="39"/>
      <c r="U237" s="16"/>
    </row>
    <row r="238" ht="30.0" customHeight="1">
      <c r="A238" s="13"/>
      <c r="B238" s="66"/>
      <c r="C238" s="67" t="b">
        <v>1</v>
      </c>
      <c r="D238" s="68" t="str">
        <f>IFS(C238=FALSE, "Session 3", C238=TRUE, "Session 3 Completed", TRUE, "")</f>
        <v>Session 3 Completed</v>
      </c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70">
        <v>45662.0</v>
      </c>
      <c r="T238" s="69"/>
      <c r="U238" s="23"/>
    </row>
    <row r="239" ht="30.0" customHeight="1">
      <c r="A239" s="13"/>
      <c r="B239" s="71"/>
      <c r="C239" s="72" t="s">
        <v>8</v>
      </c>
      <c r="D239" s="72"/>
      <c r="E239" s="73" t="s">
        <v>9</v>
      </c>
      <c r="F239" s="73" t="s">
        <v>10</v>
      </c>
      <c r="G239" s="74" t="s">
        <v>11</v>
      </c>
      <c r="H239" s="73" t="s">
        <v>12</v>
      </c>
      <c r="I239" s="73" t="s">
        <v>13</v>
      </c>
      <c r="J239" s="75"/>
      <c r="K239" s="75"/>
      <c r="L239" s="75"/>
      <c r="M239" s="75"/>
      <c r="N239" s="75"/>
      <c r="O239" s="75"/>
      <c r="P239" s="75"/>
      <c r="Q239" s="75"/>
      <c r="R239" s="75"/>
      <c r="S239" s="73" t="s">
        <v>15</v>
      </c>
      <c r="T239" s="73" t="s">
        <v>51</v>
      </c>
    </row>
    <row r="240" ht="26.25" customHeight="1">
      <c r="A240" s="13"/>
      <c r="B240" s="24" t="s">
        <v>17</v>
      </c>
      <c r="C240" s="25" t="s">
        <v>18</v>
      </c>
      <c r="D240" s="26"/>
      <c r="E240" s="24">
        <v>4.0</v>
      </c>
      <c r="F240" s="27">
        <v>10.0</v>
      </c>
      <c r="G240" s="27"/>
      <c r="H240" s="24"/>
      <c r="I240" s="91">
        <v>55.0</v>
      </c>
      <c r="J240" s="91">
        <v>60.0</v>
      </c>
      <c r="K240" s="91">
        <v>60.0</v>
      </c>
      <c r="L240" s="91">
        <v>60.0</v>
      </c>
      <c r="M240" s="91"/>
      <c r="N240" s="91"/>
      <c r="O240" s="91"/>
      <c r="P240" s="91"/>
      <c r="Q240" s="91"/>
      <c r="R240" s="91"/>
      <c r="S240" s="31"/>
      <c r="T240" s="31"/>
    </row>
    <row r="241" ht="26.25" customHeight="1">
      <c r="A241" s="13"/>
      <c r="B241" s="24" t="s">
        <v>17</v>
      </c>
      <c r="C241" s="25" t="s">
        <v>19</v>
      </c>
      <c r="D241" s="26"/>
      <c r="E241" s="24">
        <v>4.0</v>
      </c>
      <c r="F241" s="27">
        <v>10.0</v>
      </c>
      <c r="G241" s="27"/>
      <c r="H241" s="24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31" t="s">
        <v>20</v>
      </c>
      <c r="T241" s="31"/>
    </row>
    <row r="242" ht="26.25" customHeight="1">
      <c r="A242" s="13"/>
      <c r="B242" s="24" t="s">
        <v>21</v>
      </c>
      <c r="C242" s="25" t="s">
        <v>22</v>
      </c>
      <c r="D242" s="26"/>
      <c r="E242" s="24">
        <v>4.0</v>
      </c>
      <c r="F242" s="27">
        <v>10.0</v>
      </c>
      <c r="G242" s="27"/>
      <c r="H242" s="24"/>
      <c r="I242" s="92">
        <v>35.0</v>
      </c>
      <c r="J242" s="92">
        <v>35.0</v>
      </c>
      <c r="K242" s="92">
        <v>35.0</v>
      </c>
      <c r="L242" s="92">
        <v>35.0</v>
      </c>
      <c r="M242" s="92"/>
      <c r="N242" s="92"/>
      <c r="O242" s="92"/>
      <c r="P242" s="92"/>
      <c r="Q242" s="92"/>
      <c r="R242" s="92"/>
      <c r="S242" s="31"/>
      <c r="T242" s="31"/>
    </row>
    <row r="243" ht="26.25" customHeight="1">
      <c r="A243" s="13"/>
      <c r="B243" s="24" t="s">
        <v>21</v>
      </c>
      <c r="C243" s="25" t="s">
        <v>23</v>
      </c>
      <c r="D243" s="26"/>
      <c r="E243" s="24">
        <v>4.0</v>
      </c>
      <c r="F243" s="27">
        <v>10.0</v>
      </c>
      <c r="G243" s="27"/>
      <c r="H243" s="24"/>
      <c r="I243" s="92">
        <v>35.0</v>
      </c>
      <c r="J243" s="92">
        <v>35.0</v>
      </c>
      <c r="K243" s="92">
        <v>35.0</v>
      </c>
      <c r="L243" s="92">
        <v>35.0</v>
      </c>
      <c r="M243" s="92"/>
      <c r="N243" s="92"/>
      <c r="O243" s="92"/>
      <c r="P243" s="92"/>
      <c r="Q243" s="92"/>
      <c r="R243" s="92"/>
      <c r="S243" s="31"/>
      <c r="T243" s="31"/>
    </row>
    <row r="244" ht="26.25" customHeight="1">
      <c r="A244" s="13"/>
      <c r="B244" s="30"/>
      <c r="C244" s="32" t="str">
        <f>IF(D244&lt;&gt;"", HYPERLINK(VLOOKUP(D244, DATA!H:K, 4, FALSE), D244), "")</f>
        <v/>
      </c>
      <c r="D244" s="33"/>
      <c r="E244" s="30"/>
      <c r="F244" s="27"/>
      <c r="G244" s="38"/>
      <c r="H244" s="30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31"/>
      <c r="T244" s="31"/>
    </row>
    <row r="245" ht="26.25" customHeight="1">
      <c r="A245" s="13"/>
      <c r="B245" s="35"/>
      <c r="C245" s="32" t="str">
        <f>IF(D245&lt;&gt;"", HYPERLINK(VLOOKUP(D245, DATA!H:K, 4, FALSE), D245), "")</f>
        <v/>
      </c>
      <c r="D245" s="33"/>
      <c r="E245" s="30"/>
      <c r="F245" s="27"/>
      <c r="G245" s="38"/>
      <c r="H245" s="30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31"/>
      <c r="T245" s="31"/>
    </row>
    <row r="246" ht="26.25" customHeight="1">
      <c r="A246" s="13"/>
      <c r="B246" s="36"/>
      <c r="C246" s="32" t="str">
        <f>IF(D246&lt;&gt;"", HYPERLINK(VLOOKUP(D246, DATA!H:K, 4, FALSE), D246), "")</f>
        <v/>
      </c>
      <c r="D246" s="33"/>
      <c r="E246" s="30"/>
      <c r="F246" s="27"/>
      <c r="G246" s="38"/>
      <c r="H246" s="30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31"/>
      <c r="T246" s="31"/>
    </row>
    <row r="247" ht="26.25" customHeight="1">
      <c r="A247" s="13"/>
      <c r="B247" s="31"/>
      <c r="C247" s="32" t="str">
        <f>IF(D247&lt;&gt;"", HYPERLINK(VLOOKUP(D247, DATA!H:K, 4, FALSE), D247), "")</f>
        <v/>
      </c>
      <c r="D247" s="33"/>
      <c r="E247" s="30"/>
      <c r="F247" s="27"/>
      <c r="G247" s="38"/>
      <c r="H247" s="30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31"/>
      <c r="T247" s="31"/>
    </row>
    <row r="248" ht="11.25" customHeight="1">
      <c r="A248" s="13"/>
      <c r="B248" s="37"/>
      <c r="T248" s="37"/>
    </row>
    <row r="249" ht="11.25" customHeight="1">
      <c r="A249" s="13"/>
      <c r="B249" s="39"/>
      <c r="T249" s="39"/>
      <c r="U249" s="16"/>
    </row>
    <row r="250" ht="30.0" customHeight="1">
      <c r="A250" s="13"/>
      <c r="B250" s="66"/>
      <c r="C250" s="67" t="b">
        <v>1</v>
      </c>
      <c r="D250" s="68" t="str">
        <f>IFS(C250=FALSE, "Session 4", C250=TRUE, "Session 4 Completed", TRUE, "")</f>
        <v>Session 4 Completed</v>
      </c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70">
        <v>45663.0</v>
      </c>
      <c r="T250" s="69"/>
      <c r="U250" s="23"/>
    </row>
    <row r="251" ht="30.0" customHeight="1">
      <c r="A251" s="13"/>
      <c r="B251" s="71"/>
      <c r="C251" s="72" t="s">
        <v>8</v>
      </c>
      <c r="D251" s="72"/>
      <c r="E251" s="73" t="s">
        <v>9</v>
      </c>
      <c r="F251" s="73" t="s">
        <v>10</v>
      </c>
      <c r="G251" s="74" t="s">
        <v>11</v>
      </c>
      <c r="H251" s="73" t="s">
        <v>12</v>
      </c>
      <c r="I251" s="73" t="s">
        <v>13</v>
      </c>
      <c r="J251" s="75"/>
      <c r="K251" s="75"/>
      <c r="L251" s="75"/>
      <c r="M251" s="75"/>
      <c r="N251" s="75"/>
      <c r="O251" s="75"/>
      <c r="P251" s="75"/>
      <c r="Q251" s="75"/>
      <c r="R251" s="75"/>
      <c r="S251" s="73" t="s">
        <v>15</v>
      </c>
      <c r="T251" s="73" t="s">
        <v>51</v>
      </c>
    </row>
    <row r="252" ht="26.25" customHeight="1">
      <c r="A252" s="13"/>
      <c r="B252" s="30" t="s">
        <v>17</v>
      </c>
      <c r="C252" s="32" t="s">
        <v>30</v>
      </c>
      <c r="D252" s="33"/>
      <c r="E252" s="30">
        <v>4.0</v>
      </c>
      <c r="F252" s="38">
        <v>10.0</v>
      </c>
      <c r="G252" s="38"/>
      <c r="H252" s="30"/>
      <c r="I252" s="41">
        <v>85.0</v>
      </c>
      <c r="J252" s="41">
        <v>95.0</v>
      </c>
      <c r="K252" s="41">
        <v>95.0</v>
      </c>
      <c r="L252" s="41">
        <v>95.0</v>
      </c>
      <c r="M252" s="41"/>
      <c r="N252" s="41"/>
      <c r="O252" s="41"/>
      <c r="P252" s="41"/>
      <c r="Q252" s="41"/>
      <c r="R252" s="41"/>
      <c r="S252" s="30" t="s">
        <v>113</v>
      </c>
      <c r="T252" s="31"/>
    </row>
    <row r="253" ht="26.25" customHeight="1">
      <c r="A253" s="13"/>
      <c r="B253" s="30" t="s">
        <v>21</v>
      </c>
      <c r="C253" s="32" t="s">
        <v>114</v>
      </c>
      <c r="D253" s="33"/>
      <c r="E253" s="30">
        <v>4.0</v>
      </c>
      <c r="F253" s="38">
        <v>10.0</v>
      </c>
      <c r="G253" s="38"/>
      <c r="H253" s="30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30" t="s">
        <v>115</v>
      </c>
      <c r="T253" s="31"/>
    </row>
    <row r="254" ht="26.25" customHeight="1">
      <c r="A254" s="13"/>
      <c r="B254" s="30"/>
      <c r="C254" s="32" t="str">
        <f>IF(D254&lt;&gt;"", HYPERLINK(VLOOKUP(D254, DATA!H:K, 4, FALSE), D254), "")</f>
        <v/>
      </c>
      <c r="D254" s="33"/>
      <c r="E254" s="30"/>
      <c r="F254" s="27"/>
      <c r="G254" s="38"/>
      <c r="H254" s="30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31"/>
      <c r="T254" s="31"/>
    </row>
    <row r="255" ht="26.25" customHeight="1">
      <c r="A255" s="13"/>
      <c r="B255" s="30"/>
      <c r="C255" s="32" t="str">
        <f>IF(D255&lt;&gt;"", HYPERLINK(VLOOKUP(D255, DATA!H:K, 4, FALSE), D255), "")</f>
        <v/>
      </c>
      <c r="D255" s="33"/>
      <c r="E255" s="30"/>
      <c r="F255" s="27"/>
      <c r="G255" s="38"/>
      <c r="H255" s="30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31"/>
      <c r="T255" s="31"/>
    </row>
    <row r="256" ht="26.25" customHeight="1">
      <c r="A256" s="13"/>
      <c r="B256" s="30"/>
      <c r="C256" s="32" t="str">
        <f>IF(D256&lt;&gt;"", HYPERLINK(VLOOKUP(D256, DATA!H:K, 4, FALSE), D256), "")</f>
        <v/>
      </c>
      <c r="D256" s="33"/>
      <c r="E256" s="30"/>
      <c r="F256" s="27"/>
      <c r="G256" s="38"/>
      <c r="H256" s="30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31"/>
      <c r="T256" s="31"/>
    </row>
    <row r="257" ht="26.25" customHeight="1">
      <c r="A257" s="13"/>
      <c r="B257" s="35"/>
      <c r="C257" s="32" t="str">
        <f>IF(D257&lt;&gt;"", HYPERLINK(VLOOKUP(D257, DATA!H:K, 4, FALSE), D257), "")</f>
        <v/>
      </c>
      <c r="D257" s="33"/>
      <c r="E257" s="30"/>
      <c r="F257" s="27"/>
      <c r="G257" s="38"/>
      <c r="H257" s="30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31"/>
      <c r="T257" s="31"/>
    </row>
    <row r="258" ht="26.25" customHeight="1">
      <c r="A258" s="13"/>
      <c r="B258" s="36"/>
      <c r="C258" s="32" t="str">
        <f>IF(D258&lt;&gt;"", HYPERLINK(VLOOKUP(D258, DATA!H:K, 4, FALSE), D258), "")</f>
        <v/>
      </c>
      <c r="D258" s="33"/>
      <c r="E258" s="30"/>
      <c r="F258" s="27"/>
      <c r="G258" s="38"/>
      <c r="H258" s="30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31"/>
      <c r="T258" s="31"/>
    </row>
    <row r="259" ht="26.25" customHeight="1">
      <c r="A259" s="13"/>
      <c r="B259" s="31"/>
      <c r="C259" s="32" t="str">
        <f>IF(D259&lt;&gt;"", HYPERLINK(VLOOKUP(D259, DATA!H:K, 4, FALSE), D259), "")</f>
        <v/>
      </c>
      <c r="D259" s="33"/>
      <c r="E259" s="30"/>
      <c r="F259" s="27"/>
      <c r="G259" s="38"/>
      <c r="H259" s="30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31"/>
      <c r="T259" s="31"/>
    </row>
    <row r="260" ht="11.25" customHeight="1">
      <c r="A260" s="13"/>
      <c r="B260" s="37"/>
      <c r="T260" s="37"/>
    </row>
    <row r="261" ht="11.25" customHeight="1">
      <c r="A261" s="13"/>
      <c r="B261" s="39"/>
      <c r="T261" s="39"/>
      <c r="U261" s="16"/>
    </row>
    <row r="262" ht="30.0" customHeight="1">
      <c r="A262" s="13"/>
      <c r="B262" s="66"/>
      <c r="C262" s="67" t="b">
        <v>1</v>
      </c>
      <c r="D262" s="68" t="str">
        <f>IFS(C262=FALSE, "Session 5", C262=TRUE, "Session 5 Completed", TRUE, "")</f>
        <v>Session 5 Completed</v>
      </c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70">
        <v>45664.0</v>
      </c>
      <c r="T262" s="69"/>
      <c r="U262" s="23"/>
    </row>
    <row r="263" ht="30.0" customHeight="1">
      <c r="A263" s="13"/>
      <c r="B263" s="71"/>
      <c r="C263" s="72" t="s">
        <v>8</v>
      </c>
      <c r="D263" s="72"/>
      <c r="E263" s="73" t="s">
        <v>9</v>
      </c>
      <c r="F263" s="73" t="s">
        <v>10</v>
      </c>
      <c r="G263" s="74" t="s">
        <v>11</v>
      </c>
      <c r="H263" s="73" t="s">
        <v>12</v>
      </c>
      <c r="I263" s="73" t="s">
        <v>13</v>
      </c>
      <c r="J263" s="75"/>
      <c r="K263" s="75"/>
      <c r="L263" s="75"/>
      <c r="M263" s="75"/>
      <c r="N263" s="75"/>
      <c r="O263" s="75"/>
      <c r="P263" s="75"/>
      <c r="Q263" s="75"/>
      <c r="R263" s="75"/>
      <c r="S263" s="73" t="s">
        <v>15</v>
      </c>
      <c r="T263" s="73" t="s">
        <v>51</v>
      </c>
    </row>
    <row r="264" ht="26.25" customHeight="1">
      <c r="A264" s="13"/>
      <c r="B264" s="24" t="s">
        <v>17</v>
      </c>
      <c r="C264" s="25" t="s">
        <v>25</v>
      </c>
      <c r="D264" s="26"/>
      <c r="E264" s="24">
        <v>4.0</v>
      </c>
      <c r="F264" s="27">
        <v>10.0</v>
      </c>
      <c r="G264" s="27"/>
      <c r="H264" s="24"/>
      <c r="I264" s="91">
        <v>40.0</v>
      </c>
      <c r="J264" s="91">
        <v>40.0</v>
      </c>
      <c r="K264" s="41">
        <v>35.0</v>
      </c>
      <c r="L264" s="41">
        <v>35.0</v>
      </c>
      <c r="M264" s="41"/>
      <c r="N264" s="41"/>
      <c r="O264" s="41"/>
      <c r="P264" s="41"/>
      <c r="Q264" s="41"/>
      <c r="R264" s="41"/>
      <c r="S264" s="31"/>
      <c r="T264" s="31"/>
    </row>
    <row r="265" ht="26.25" customHeight="1">
      <c r="A265" s="13"/>
      <c r="B265" s="24" t="s">
        <v>21</v>
      </c>
      <c r="C265" s="84" t="s">
        <v>28</v>
      </c>
      <c r="D265" s="85"/>
      <c r="E265" s="83">
        <v>4.0</v>
      </c>
      <c r="F265" s="86">
        <v>10.0</v>
      </c>
      <c r="G265" s="86"/>
      <c r="H265" s="83"/>
      <c r="I265" s="89">
        <v>50.0</v>
      </c>
      <c r="J265" s="89">
        <v>50.0</v>
      </c>
      <c r="K265" s="89">
        <v>50.0</v>
      </c>
      <c r="L265" s="89">
        <v>50.0</v>
      </c>
      <c r="M265" s="42"/>
      <c r="N265" s="42"/>
      <c r="O265" s="42"/>
      <c r="P265" s="42"/>
      <c r="Q265" s="42"/>
      <c r="R265" s="42"/>
      <c r="S265" s="31"/>
      <c r="T265" s="31"/>
    </row>
    <row r="266" ht="26.25" customHeight="1">
      <c r="A266" s="13"/>
      <c r="B266" s="24" t="s">
        <v>26</v>
      </c>
      <c r="C266" s="32" t="s">
        <v>116</v>
      </c>
      <c r="D266" s="26"/>
      <c r="E266" s="30">
        <v>2.0</v>
      </c>
      <c r="F266" s="27">
        <v>10.0</v>
      </c>
      <c r="G266" s="27"/>
      <c r="H266" s="24"/>
      <c r="I266" s="42">
        <v>40.0</v>
      </c>
      <c r="J266" s="42">
        <v>40.0</v>
      </c>
      <c r="K266" s="92"/>
      <c r="L266" s="92"/>
      <c r="M266" s="42"/>
      <c r="N266" s="42"/>
      <c r="O266" s="42"/>
      <c r="P266" s="42"/>
      <c r="Q266" s="42"/>
      <c r="R266" s="42"/>
      <c r="S266" s="30" t="s">
        <v>117</v>
      </c>
      <c r="T266" s="31"/>
    </row>
    <row r="267" ht="26.25" customHeight="1">
      <c r="A267" s="13"/>
      <c r="B267" s="30"/>
      <c r="C267" s="32" t="str">
        <f>IF(D267&lt;&gt;"", HYPERLINK(VLOOKUP(D267, DATA!H:K, 4, FALSE), D267), "")</f>
        <v/>
      </c>
      <c r="D267" s="33"/>
      <c r="E267" s="30"/>
      <c r="F267" s="27"/>
      <c r="G267" s="38"/>
      <c r="H267" s="30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31"/>
      <c r="T267" s="31"/>
    </row>
    <row r="268" ht="26.25" customHeight="1">
      <c r="A268" s="13"/>
      <c r="B268" s="30"/>
      <c r="C268" s="32" t="str">
        <f>IF(D268&lt;&gt;"", HYPERLINK(VLOOKUP(D268, DATA!H:K, 4, FALSE), D268), "")</f>
        <v/>
      </c>
      <c r="D268" s="33"/>
      <c r="E268" s="30"/>
      <c r="F268" s="27"/>
      <c r="G268" s="38"/>
      <c r="H268" s="30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31"/>
      <c r="T268" s="31"/>
    </row>
    <row r="269" ht="26.25" customHeight="1">
      <c r="A269" s="13"/>
      <c r="B269" s="35"/>
      <c r="C269" s="32" t="str">
        <f>IF(D269&lt;&gt;"", HYPERLINK(VLOOKUP(D269, DATA!H:K, 4, FALSE), D269), "")</f>
        <v/>
      </c>
      <c r="D269" s="33"/>
      <c r="E269" s="30"/>
      <c r="F269" s="27"/>
      <c r="G269" s="38"/>
      <c r="H269" s="30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31"/>
      <c r="T269" s="31"/>
    </row>
    <row r="270" ht="26.25" customHeight="1">
      <c r="A270" s="13"/>
      <c r="B270" s="36"/>
      <c r="C270" s="32" t="str">
        <f>IF(D270&lt;&gt;"", HYPERLINK(VLOOKUP(D270, DATA!H:K, 4, FALSE), D270), "")</f>
        <v/>
      </c>
      <c r="D270" s="33"/>
      <c r="E270" s="30"/>
      <c r="F270" s="27"/>
      <c r="G270" s="38"/>
      <c r="H270" s="30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31"/>
      <c r="T270" s="31"/>
    </row>
    <row r="271" ht="26.25" customHeight="1">
      <c r="A271" s="13"/>
      <c r="B271" s="31"/>
      <c r="C271" s="32" t="str">
        <f>IF(D271&lt;&gt;"", HYPERLINK(VLOOKUP(D271, DATA!H:K, 4, FALSE), D271), "")</f>
        <v/>
      </c>
      <c r="D271" s="33"/>
      <c r="E271" s="30"/>
      <c r="F271" s="27"/>
      <c r="G271" s="38"/>
      <c r="H271" s="30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31"/>
      <c r="T271" s="31"/>
    </row>
    <row r="272" ht="11.25" customHeight="1">
      <c r="A272" s="13"/>
      <c r="B272" s="37"/>
      <c r="T272" s="37"/>
    </row>
    <row r="273" ht="11.25" customHeight="1">
      <c r="A273" s="13"/>
      <c r="B273" s="39"/>
      <c r="T273" s="39"/>
      <c r="U273" s="16"/>
    </row>
    <row r="274" ht="30.0" customHeight="1">
      <c r="A274" s="13"/>
      <c r="B274" s="66"/>
      <c r="C274" s="67" t="b">
        <v>1</v>
      </c>
      <c r="D274" s="68" t="str">
        <f>IFS(C274=FALSE, "Session 6", C274=TRUE, "Session 6 Completed", TRUE, "")</f>
        <v>Session 6 Completed</v>
      </c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70">
        <v>45666.0</v>
      </c>
      <c r="T274" s="69"/>
      <c r="U274" s="23"/>
    </row>
    <row r="275" ht="30.0" customHeight="1">
      <c r="A275" s="13"/>
      <c r="B275" s="71"/>
      <c r="C275" s="72" t="s">
        <v>8</v>
      </c>
      <c r="D275" s="72"/>
      <c r="E275" s="73" t="s">
        <v>9</v>
      </c>
      <c r="F275" s="73" t="s">
        <v>10</v>
      </c>
      <c r="G275" s="74" t="s">
        <v>11</v>
      </c>
      <c r="H275" s="73" t="s">
        <v>12</v>
      </c>
      <c r="I275" s="73" t="s">
        <v>13</v>
      </c>
      <c r="J275" s="75"/>
      <c r="K275" s="75"/>
      <c r="L275" s="75"/>
      <c r="M275" s="75"/>
      <c r="N275" s="75"/>
      <c r="O275" s="75"/>
      <c r="P275" s="75"/>
      <c r="Q275" s="75"/>
      <c r="R275" s="75"/>
      <c r="S275" s="73" t="s">
        <v>15</v>
      </c>
      <c r="T275" s="73" t="s">
        <v>51</v>
      </c>
    </row>
    <row r="276" ht="26.25" customHeight="1">
      <c r="A276" s="13"/>
      <c r="B276" s="30" t="s">
        <v>17</v>
      </c>
      <c r="C276" s="32" t="s">
        <v>39</v>
      </c>
      <c r="D276" s="33" t="s">
        <v>36</v>
      </c>
      <c r="E276" s="30">
        <v>4.0</v>
      </c>
      <c r="F276" s="38">
        <v>10.0</v>
      </c>
      <c r="G276" s="38"/>
      <c r="H276" s="30"/>
      <c r="I276" s="41">
        <v>15.0</v>
      </c>
      <c r="J276" s="41">
        <v>20.0</v>
      </c>
      <c r="K276" s="41">
        <v>20.0</v>
      </c>
      <c r="L276" s="41">
        <v>20.0</v>
      </c>
      <c r="M276" s="41"/>
      <c r="N276" s="41"/>
      <c r="O276" s="41"/>
      <c r="P276" s="41"/>
      <c r="Q276" s="41"/>
      <c r="R276" s="41"/>
      <c r="S276" s="30"/>
      <c r="T276" s="31"/>
    </row>
    <row r="277" ht="26.25" customHeight="1">
      <c r="A277" s="13"/>
      <c r="B277" s="30" t="s">
        <v>21</v>
      </c>
      <c r="C277" s="32" t="s">
        <v>41</v>
      </c>
      <c r="D277" s="33"/>
      <c r="E277" s="30">
        <v>4.0</v>
      </c>
      <c r="F277" s="38">
        <v>10.0</v>
      </c>
      <c r="G277" s="38"/>
      <c r="H277" s="30"/>
      <c r="I277" s="42">
        <v>40.0</v>
      </c>
      <c r="J277" s="42">
        <v>40.0</v>
      </c>
      <c r="K277" s="42">
        <v>40.0</v>
      </c>
      <c r="L277" s="42">
        <v>40.0</v>
      </c>
      <c r="M277" s="42"/>
      <c r="N277" s="42"/>
      <c r="O277" s="42"/>
      <c r="P277" s="42"/>
      <c r="Q277" s="42"/>
      <c r="R277" s="42"/>
      <c r="S277" s="30" t="s">
        <v>118</v>
      </c>
      <c r="T277" s="31"/>
    </row>
    <row r="278" ht="26.25" customHeight="1">
      <c r="A278" s="13"/>
      <c r="B278" s="30"/>
      <c r="C278" s="32" t="str">
        <f>IF(D278&lt;&gt;"", HYPERLINK(VLOOKUP(D278, DATA!H:K, 4, FALSE), D278), "")</f>
        <v/>
      </c>
      <c r="D278" s="33"/>
      <c r="E278" s="30"/>
      <c r="F278" s="27"/>
      <c r="G278" s="38"/>
      <c r="H278" s="30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31"/>
      <c r="T278" s="31"/>
    </row>
    <row r="279" ht="26.25" customHeight="1">
      <c r="A279" s="13"/>
      <c r="B279" s="30"/>
      <c r="C279" s="32" t="str">
        <f>IF(D279&lt;&gt;"", HYPERLINK(VLOOKUP(D279, DATA!H:K, 4, FALSE), D279), "")</f>
        <v/>
      </c>
      <c r="D279" s="33"/>
      <c r="E279" s="30"/>
      <c r="F279" s="27"/>
      <c r="G279" s="38"/>
      <c r="H279" s="30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31"/>
      <c r="T279" s="31"/>
    </row>
    <row r="280" ht="26.25" customHeight="1">
      <c r="A280" s="13"/>
      <c r="B280" s="30"/>
      <c r="C280" s="32" t="str">
        <f>IF(D280&lt;&gt;"", HYPERLINK(VLOOKUP(D280, DATA!H:K, 4, FALSE), D280), "")</f>
        <v/>
      </c>
      <c r="D280" s="33"/>
      <c r="E280" s="30"/>
      <c r="F280" s="27"/>
      <c r="G280" s="38"/>
      <c r="H280" s="30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31"/>
      <c r="T280" s="31"/>
    </row>
    <row r="281" ht="26.25" customHeight="1">
      <c r="A281" s="13"/>
      <c r="B281" s="35"/>
      <c r="C281" s="32" t="str">
        <f>IF(D281&lt;&gt;"", HYPERLINK(VLOOKUP(D281, DATA!H:K, 4, FALSE), D281), "")</f>
        <v/>
      </c>
      <c r="D281" s="33"/>
      <c r="E281" s="30"/>
      <c r="F281" s="27"/>
      <c r="G281" s="38"/>
      <c r="H281" s="30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31"/>
      <c r="T281" s="31"/>
    </row>
    <row r="282" ht="26.25" customHeight="1">
      <c r="A282" s="13"/>
      <c r="B282" s="36"/>
      <c r="C282" s="32" t="str">
        <f>IF(D282&lt;&gt;"", HYPERLINK(VLOOKUP(D282, DATA!H:K, 4, FALSE), D282), "")</f>
        <v/>
      </c>
      <c r="D282" s="33"/>
      <c r="E282" s="30"/>
      <c r="F282" s="27"/>
      <c r="G282" s="38"/>
      <c r="H282" s="30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31"/>
      <c r="T282" s="31"/>
    </row>
    <row r="283" ht="26.25" customHeight="1">
      <c r="A283" s="13"/>
      <c r="B283" s="31"/>
      <c r="C283" s="32" t="str">
        <f>IF(D283&lt;&gt;"", HYPERLINK(VLOOKUP(D283, DATA!H:K, 4, FALSE), D283), "")</f>
        <v/>
      </c>
      <c r="D283" s="33"/>
      <c r="E283" s="30"/>
      <c r="F283" s="27"/>
      <c r="G283" s="38"/>
      <c r="H283" s="30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31"/>
      <c r="T283" s="31"/>
    </row>
    <row r="284" ht="11.25" customHeight="1">
      <c r="A284" s="13"/>
      <c r="B284" s="37"/>
      <c r="T284" s="37"/>
    </row>
    <row r="285" ht="45.0" customHeight="1">
      <c r="A285" s="13"/>
      <c r="B285" s="14" t="s">
        <v>7</v>
      </c>
      <c r="U285" s="13"/>
    </row>
    <row r="286" ht="30.0" customHeight="1">
      <c r="A286" s="13"/>
      <c r="B286" s="66"/>
      <c r="C286" s="67" t="b">
        <v>1</v>
      </c>
      <c r="D286" s="68" t="str">
        <f>IFS(C286=FALSE, "Session 1", C286=TRUE, "Session 1 Completed", TRUE, "")</f>
        <v>Session 1 Completed</v>
      </c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70">
        <v>45667.0</v>
      </c>
      <c r="T286" s="69"/>
      <c r="U286" s="23"/>
    </row>
    <row r="287" ht="30.0" customHeight="1">
      <c r="A287" s="13"/>
      <c r="B287" s="71"/>
      <c r="C287" s="72" t="s">
        <v>8</v>
      </c>
      <c r="D287" s="72"/>
      <c r="E287" s="73" t="s">
        <v>9</v>
      </c>
      <c r="F287" s="73" t="s">
        <v>10</v>
      </c>
      <c r="G287" s="74" t="s">
        <v>11</v>
      </c>
      <c r="H287" s="73" t="s">
        <v>12</v>
      </c>
      <c r="I287" s="73" t="s">
        <v>13</v>
      </c>
      <c r="J287" s="75"/>
      <c r="K287" s="75"/>
      <c r="L287" s="75"/>
      <c r="M287" s="75"/>
      <c r="N287" s="75"/>
      <c r="O287" s="75"/>
      <c r="P287" s="75"/>
      <c r="Q287" s="75"/>
      <c r="R287" s="75"/>
      <c r="S287" s="73" t="s">
        <v>15</v>
      </c>
      <c r="T287" s="73" t="s">
        <v>51</v>
      </c>
    </row>
    <row r="288" ht="26.25" customHeight="1">
      <c r="A288" s="13"/>
      <c r="B288" s="24" t="s">
        <v>17</v>
      </c>
      <c r="C288" s="25" t="s">
        <v>18</v>
      </c>
      <c r="D288" s="26"/>
      <c r="E288" s="30">
        <v>2.0</v>
      </c>
      <c r="F288" s="27">
        <v>10.0</v>
      </c>
      <c r="G288" s="27"/>
      <c r="H288" s="24"/>
      <c r="I288" s="91">
        <v>55.0</v>
      </c>
      <c r="J288" s="91">
        <v>60.0</v>
      </c>
      <c r="K288" s="91"/>
      <c r="L288" s="91"/>
      <c r="M288" s="91"/>
      <c r="N288" s="91"/>
      <c r="O288" s="91"/>
      <c r="P288" s="91"/>
      <c r="Q288" s="91"/>
      <c r="R288" s="91"/>
      <c r="S288" s="30" t="s">
        <v>119</v>
      </c>
      <c r="T288" s="31"/>
    </row>
    <row r="289" ht="26.25" customHeight="1">
      <c r="A289" s="13"/>
      <c r="B289" s="24" t="s">
        <v>17</v>
      </c>
      <c r="C289" s="25" t="s">
        <v>19</v>
      </c>
      <c r="D289" s="26"/>
      <c r="E289" s="30">
        <v>2.0</v>
      </c>
      <c r="F289" s="27">
        <v>10.0</v>
      </c>
      <c r="G289" s="27"/>
      <c r="H289" s="24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31"/>
      <c r="T289" s="31"/>
    </row>
    <row r="290" ht="26.25" customHeight="1">
      <c r="A290" s="13"/>
      <c r="B290" s="24"/>
      <c r="C290" s="25"/>
      <c r="D290" s="26"/>
      <c r="E290" s="24"/>
      <c r="F290" s="27"/>
      <c r="G290" s="27"/>
      <c r="H290" s="24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31"/>
      <c r="T290" s="31"/>
    </row>
    <row r="291" ht="26.25" customHeight="1">
      <c r="A291" s="13"/>
      <c r="B291" s="24"/>
      <c r="C291" s="25"/>
      <c r="D291" s="26"/>
      <c r="E291" s="24"/>
      <c r="F291" s="27"/>
      <c r="G291" s="27"/>
      <c r="H291" s="24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31"/>
      <c r="T291" s="31"/>
    </row>
    <row r="292" ht="26.25" customHeight="1">
      <c r="A292" s="13"/>
      <c r="B292" s="30"/>
      <c r="C292" s="32" t="str">
        <f>IF(D292&lt;&gt;"", HYPERLINK(VLOOKUP(D292, DATA!H:K, 4, FALSE), D292), "")</f>
        <v/>
      </c>
      <c r="D292" s="33"/>
      <c r="E292" s="30"/>
      <c r="F292" s="27"/>
      <c r="G292" s="38"/>
      <c r="H292" s="30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31"/>
      <c r="T292" s="31"/>
    </row>
    <row r="293" ht="26.25" customHeight="1">
      <c r="A293" s="13"/>
      <c r="B293" s="35"/>
      <c r="C293" s="32" t="str">
        <f>IF(D293&lt;&gt;"", HYPERLINK(VLOOKUP(D293, DATA!H:K, 4, FALSE), D293), "")</f>
        <v/>
      </c>
      <c r="D293" s="33"/>
      <c r="E293" s="30"/>
      <c r="F293" s="27"/>
      <c r="G293" s="38"/>
      <c r="H293" s="30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31"/>
      <c r="T293" s="31"/>
    </row>
    <row r="294" ht="26.25" customHeight="1">
      <c r="A294" s="13"/>
      <c r="B294" s="36"/>
      <c r="C294" s="32" t="str">
        <f>IF(D294&lt;&gt;"", HYPERLINK(VLOOKUP(D294, DATA!H:K, 4, FALSE), D294), "")</f>
        <v/>
      </c>
      <c r="D294" s="33"/>
      <c r="E294" s="30"/>
      <c r="F294" s="27"/>
      <c r="G294" s="38"/>
      <c r="H294" s="30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31"/>
      <c r="T294" s="31"/>
    </row>
    <row r="295" ht="26.25" customHeight="1">
      <c r="A295" s="13"/>
      <c r="B295" s="31"/>
      <c r="C295" s="32" t="str">
        <f>IF(D295&lt;&gt;"", HYPERLINK(VLOOKUP(D295, DATA!H:K, 4, FALSE), D295), "")</f>
        <v/>
      </c>
      <c r="D295" s="33"/>
      <c r="E295" s="30"/>
      <c r="F295" s="27"/>
      <c r="G295" s="38"/>
      <c r="H295" s="30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31"/>
      <c r="T295" s="31"/>
    </row>
    <row r="296" ht="11.25" customHeight="1">
      <c r="A296" s="13"/>
      <c r="B296" s="37"/>
      <c r="T296" s="37"/>
    </row>
    <row r="297" ht="11.25" customHeight="1">
      <c r="A297" s="13"/>
      <c r="B297" s="39"/>
      <c r="T297" s="39"/>
      <c r="U297" s="16"/>
    </row>
    <row r="298" ht="30.0" customHeight="1">
      <c r="A298" s="13"/>
      <c r="B298" s="66"/>
      <c r="C298" s="67" t="b">
        <v>1</v>
      </c>
      <c r="D298" s="68" t="str">
        <f>IFS(C298=FALSE, "Session 2", C298=TRUE, "Session 2 Completed", TRUE, "")</f>
        <v>Session 2 Completed</v>
      </c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70">
        <v>45668.0</v>
      </c>
      <c r="T298" s="69"/>
      <c r="U298" s="23"/>
    </row>
    <row r="299" ht="30.0" customHeight="1">
      <c r="A299" s="13"/>
      <c r="B299" s="71"/>
      <c r="C299" s="72" t="s">
        <v>8</v>
      </c>
      <c r="D299" s="72"/>
      <c r="E299" s="73" t="s">
        <v>9</v>
      </c>
      <c r="F299" s="73" t="s">
        <v>10</v>
      </c>
      <c r="G299" s="74" t="s">
        <v>11</v>
      </c>
      <c r="H299" s="73" t="s">
        <v>12</v>
      </c>
      <c r="I299" s="73" t="s">
        <v>13</v>
      </c>
      <c r="J299" s="75"/>
      <c r="K299" s="75"/>
      <c r="L299" s="75"/>
      <c r="M299" s="75"/>
      <c r="N299" s="75"/>
      <c r="O299" s="75"/>
      <c r="P299" s="75"/>
      <c r="Q299" s="75"/>
      <c r="R299" s="75"/>
      <c r="S299" s="73" t="s">
        <v>15</v>
      </c>
      <c r="T299" s="73" t="s">
        <v>51</v>
      </c>
    </row>
    <row r="300" ht="26.25" customHeight="1">
      <c r="A300" s="13"/>
      <c r="B300" s="30" t="s">
        <v>17</v>
      </c>
      <c r="C300" s="32" t="s">
        <v>30</v>
      </c>
      <c r="D300" s="33"/>
      <c r="E300" s="30">
        <v>4.0</v>
      </c>
      <c r="F300" s="38">
        <v>10.0</v>
      </c>
      <c r="G300" s="38"/>
      <c r="H300" s="30"/>
      <c r="I300" s="41">
        <v>95.0</v>
      </c>
      <c r="J300" s="41">
        <v>95.0</v>
      </c>
      <c r="K300" s="41">
        <v>95.0</v>
      </c>
      <c r="L300" s="41">
        <v>95.0</v>
      </c>
      <c r="M300" s="41"/>
      <c r="N300" s="41"/>
      <c r="O300" s="41"/>
      <c r="P300" s="41"/>
      <c r="Q300" s="41"/>
      <c r="R300" s="41"/>
      <c r="S300" s="30" t="s">
        <v>120</v>
      </c>
      <c r="T300" s="31"/>
    </row>
    <row r="301" ht="26.25" customHeight="1">
      <c r="A301" s="13"/>
      <c r="B301" s="30" t="s">
        <v>21</v>
      </c>
      <c r="C301" s="32" t="s">
        <v>114</v>
      </c>
      <c r="D301" s="33"/>
      <c r="E301" s="30">
        <v>0.0</v>
      </c>
      <c r="F301" s="38">
        <v>10.0</v>
      </c>
      <c r="G301" s="38"/>
      <c r="H301" s="30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30" t="s">
        <v>121</v>
      </c>
      <c r="T301" s="31"/>
    </row>
    <row r="302" ht="26.25" customHeight="1">
      <c r="A302" s="13"/>
      <c r="B302" s="30"/>
      <c r="C302" s="32" t="str">
        <f>IF(D302&lt;&gt;"", HYPERLINK(VLOOKUP(D302, DATA!H:K, 4, FALSE), D302), "")</f>
        <v/>
      </c>
      <c r="D302" s="33"/>
      <c r="E302" s="30"/>
      <c r="F302" s="27"/>
      <c r="G302" s="38"/>
      <c r="H302" s="30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31"/>
      <c r="T302" s="31"/>
    </row>
    <row r="303" ht="26.25" customHeight="1">
      <c r="A303" s="13"/>
      <c r="B303" s="30"/>
      <c r="C303" s="32" t="str">
        <f>IF(D303&lt;&gt;"", HYPERLINK(VLOOKUP(D303, DATA!H:K, 4, FALSE), D303), "")</f>
        <v/>
      </c>
      <c r="D303" s="33"/>
      <c r="E303" s="30"/>
      <c r="F303" s="27"/>
      <c r="G303" s="38"/>
      <c r="H303" s="30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31"/>
      <c r="T303" s="31"/>
    </row>
    <row r="304" ht="26.25" customHeight="1">
      <c r="A304" s="13"/>
      <c r="B304" s="30"/>
      <c r="C304" s="32" t="str">
        <f>IF(D304&lt;&gt;"", HYPERLINK(VLOOKUP(D304, DATA!H:K, 4, FALSE), D304), "")</f>
        <v/>
      </c>
      <c r="D304" s="33"/>
      <c r="E304" s="30"/>
      <c r="F304" s="27"/>
      <c r="G304" s="38"/>
      <c r="H304" s="30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31"/>
      <c r="T304" s="31"/>
    </row>
    <row r="305" ht="26.25" customHeight="1">
      <c r="A305" s="13"/>
      <c r="B305" s="35"/>
      <c r="C305" s="32" t="str">
        <f>IF(D305&lt;&gt;"", HYPERLINK(VLOOKUP(D305, DATA!H:K, 4, FALSE), D305), "")</f>
        <v/>
      </c>
      <c r="D305" s="33"/>
      <c r="E305" s="30"/>
      <c r="F305" s="27"/>
      <c r="G305" s="38"/>
      <c r="H305" s="30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31"/>
      <c r="T305" s="31"/>
    </row>
    <row r="306" ht="26.25" customHeight="1">
      <c r="A306" s="13"/>
      <c r="B306" s="36"/>
      <c r="C306" s="32" t="str">
        <f>IF(D306&lt;&gt;"", HYPERLINK(VLOOKUP(D306, DATA!H:K, 4, FALSE), D306), "")</f>
        <v/>
      </c>
      <c r="D306" s="33"/>
      <c r="E306" s="30"/>
      <c r="F306" s="27"/>
      <c r="G306" s="38"/>
      <c r="H306" s="30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31"/>
      <c r="T306" s="31"/>
    </row>
    <row r="307" ht="26.25" customHeight="1">
      <c r="A307" s="13"/>
      <c r="B307" s="31"/>
      <c r="C307" s="32" t="str">
        <f>IF(D307&lt;&gt;"", HYPERLINK(VLOOKUP(D307, DATA!H:K, 4, FALSE), D307), "")</f>
        <v/>
      </c>
      <c r="D307" s="33"/>
      <c r="E307" s="30"/>
      <c r="F307" s="27"/>
      <c r="G307" s="38"/>
      <c r="H307" s="30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31"/>
      <c r="T307" s="31"/>
    </row>
    <row r="308" ht="11.25" customHeight="1">
      <c r="A308" s="13"/>
      <c r="B308" s="37"/>
      <c r="T308" s="37"/>
    </row>
    <row r="309" ht="11.25" customHeight="1">
      <c r="A309" s="13"/>
      <c r="B309" s="39"/>
      <c r="T309" s="39"/>
      <c r="U309" s="16"/>
    </row>
    <row r="310" ht="30.0" customHeight="1">
      <c r="A310" s="13"/>
      <c r="B310" s="66"/>
      <c r="C310" s="67" t="b">
        <v>1</v>
      </c>
      <c r="D310" s="68" t="str">
        <f>IFS(C310=FALSE, "Session 3", C310=TRUE, "Session 3 Completed", TRUE, "")</f>
        <v>Session 3 Completed</v>
      </c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70">
        <v>45671.0</v>
      </c>
      <c r="T310" s="69"/>
      <c r="U310" s="23"/>
    </row>
    <row r="311" ht="30.0" customHeight="1">
      <c r="A311" s="13"/>
      <c r="B311" s="71"/>
      <c r="C311" s="72" t="s">
        <v>8</v>
      </c>
      <c r="D311" s="72"/>
      <c r="E311" s="73" t="s">
        <v>9</v>
      </c>
      <c r="F311" s="73" t="s">
        <v>10</v>
      </c>
      <c r="G311" s="74" t="s">
        <v>11</v>
      </c>
      <c r="H311" s="73" t="s">
        <v>12</v>
      </c>
      <c r="I311" s="73" t="s">
        <v>13</v>
      </c>
      <c r="J311" s="75"/>
      <c r="K311" s="75"/>
      <c r="L311" s="75"/>
      <c r="M311" s="75"/>
      <c r="N311" s="75"/>
      <c r="O311" s="75"/>
      <c r="P311" s="75"/>
      <c r="Q311" s="75"/>
      <c r="R311" s="75"/>
      <c r="S311" s="73" t="s">
        <v>15</v>
      </c>
      <c r="T311" s="73" t="s">
        <v>51</v>
      </c>
    </row>
    <row r="312" ht="26.25" customHeight="1">
      <c r="A312" s="13"/>
      <c r="B312" s="24" t="s">
        <v>17</v>
      </c>
      <c r="C312" s="25" t="s">
        <v>18</v>
      </c>
      <c r="D312" s="26"/>
      <c r="E312" s="24">
        <v>4.0</v>
      </c>
      <c r="F312" s="27">
        <v>10.0</v>
      </c>
      <c r="G312" s="27"/>
      <c r="H312" s="24"/>
      <c r="I312" s="91">
        <v>55.0</v>
      </c>
      <c r="J312" s="91">
        <v>60.0</v>
      </c>
      <c r="K312" s="91">
        <v>60.0</v>
      </c>
      <c r="L312" s="91">
        <v>60.0</v>
      </c>
      <c r="M312" s="91"/>
      <c r="N312" s="91"/>
      <c r="O312" s="91"/>
      <c r="P312" s="91"/>
      <c r="Q312" s="91"/>
      <c r="R312" s="91"/>
      <c r="S312" s="30" t="s">
        <v>122</v>
      </c>
      <c r="T312" s="31"/>
    </row>
    <row r="313" ht="26.25" customHeight="1">
      <c r="A313" s="13"/>
      <c r="B313" s="24" t="s">
        <v>17</v>
      </c>
      <c r="C313" s="25" t="s">
        <v>19</v>
      </c>
      <c r="D313" s="26"/>
      <c r="E313" s="24">
        <v>4.0</v>
      </c>
      <c r="F313" s="27">
        <v>10.0</v>
      </c>
      <c r="G313" s="27"/>
      <c r="H313" s="24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31" t="s">
        <v>20</v>
      </c>
      <c r="T313" s="31"/>
    </row>
    <row r="314" ht="26.25" customHeight="1">
      <c r="A314" s="13"/>
      <c r="B314" s="24" t="s">
        <v>21</v>
      </c>
      <c r="C314" s="25" t="s">
        <v>22</v>
      </c>
      <c r="D314" s="26"/>
      <c r="E314" s="24">
        <v>4.0</v>
      </c>
      <c r="F314" s="27">
        <v>10.0</v>
      </c>
      <c r="G314" s="27"/>
      <c r="H314" s="24"/>
      <c r="I314" s="92">
        <v>35.0</v>
      </c>
      <c r="J314" s="92">
        <v>35.0</v>
      </c>
      <c r="K314" s="92">
        <v>35.0</v>
      </c>
      <c r="L314" s="92">
        <v>35.0</v>
      </c>
      <c r="M314" s="92"/>
      <c r="N314" s="92"/>
      <c r="O314" s="92"/>
      <c r="P314" s="92"/>
      <c r="Q314" s="92"/>
      <c r="R314" s="92"/>
      <c r="S314" s="31"/>
      <c r="T314" s="31"/>
    </row>
    <row r="315" ht="26.25" customHeight="1">
      <c r="A315" s="13"/>
      <c r="B315" s="24" t="s">
        <v>21</v>
      </c>
      <c r="C315" s="25" t="s">
        <v>23</v>
      </c>
      <c r="D315" s="26"/>
      <c r="E315" s="24">
        <v>4.0</v>
      </c>
      <c r="F315" s="27">
        <v>10.0</v>
      </c>
      <c r="G315" s="27"/>
      <c r="H315" s="24"/>
      <c r="I315" s="92">
        <v>35.0</v>
      </c>
      <c r="J315" s="92">
        <v>35.0</v>
      </c>
      <c r="K315" s="92">
        <v>35.0</v>
      </c>
      <c r="L315" s="92">
        <v>35.0</v>
      </c>
      <c r="M315" s="92"/>
      <c r="N315" s="92"/>
      <c r="O315" s="92"/>
      <c r="P315" s="92"/>
      <c r="Q315" s="92"/>
      <c r="R315" s="92"/>
      <c r="S315" s="31"/>
      <c r="T315" s="31"/>
    </row>
    <row r="316" ht="26.25" customHeight="1">
      <c r="A316" s="13"/>
      <c r="B316" s="30"/>
      <c r="C316" s="32" t="str">
        <f>IF(D316&lt;&gt;"", HYPERLINK(VLOOKUP(D316, DATA!H:K, 4, FALSE), D316), "")</f>
        <v/>
      </c>
      <c r="D316" s="33"/>
      <c r="E316" s="30"/>
      <c r="F316" s="27"/>
      <c r="G316" s="38"/>
      <c r="H316" s="30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31"/>
      <c r="T316" s="31"/>
    </row>
    <row r="317" ht="26.25" customHeight="1">
      <c r="A317" s="13"/>
      <c r="B317" s="35"/>
      <c r="C317" s="32" t="str">
        <f>IF(D317&lt;&gt;"", HYPERLINK(VLOOKUP(D317, DATA!H:K, 4, FALSE), D317), "")</f>
        <v/>
      </c>
      <c r="D317" s="33"/>
      <c r="E317" s="30"/>
      <c r="F317" s="27"/>
      <c r="G317" s="38"/>
      <c r="H317" s="30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31"/>
      <c r="T317" s="31"/>
    </row>
    <row r="318" ht="26.25" customHeight="1">
      <c r="A318" s="13"/>
      <c r="B318" s="36"/>
      <c r="C318" s="32" t="str">
        <f>IF(D318&lt;&gt;"", HYPERLINK(VLOOKUP(D318, DATA!H:K, 4, FALSE), D318), "")</f>
        <v/>
      </c>
      <c r="D318" s="33"/>
      <c r="E318" s="30"/>
      <c r="F318" s="27"/>
      <c r="G318" s="38"/>
      <c r="H318" s="30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31"/>
      <c r="T318" s="31"/>
    </row>
    <row r="319" ht="26.25" customHeight="1">
      <c r="A319" s="13"/>
      <c r="B319" s="31"/>
      <c r="C319" s="32" t="str">
        <f>IF(D319&lt;&gt;"", HYPERLINK(VLOOKUP(D319, DATA!H:K, 4, FALSE), D319), "")</f>
        <v/>
      </c>
      <c r="D319" s="33"/>
      <c r="E319" s="30"/>
      <c r="F319" s="27"/>
      <c r="G319" s="38"/>
      <c r="H319" s="30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31"/>
      <c r="T319" s="31"/>
    </row>
    <row r="320" ht="11.25" customHeight="1">
      <c r="A320" s="13"/>
      <c r="B320" s="37"/>
      <c r="T320" s="37"/>
    </row>
    <row r="321" ht="11.25" customHeight="1">
      <c r="A321" s="13"/>
      <c r="B321" s="39"/>
      <c r="T321" s="39"/>
      <c r="U321" s="16"/>
    </row>
    <row r="322" ht="30.0" customHeight="1">
      <c r="A322" s="13"/>
      <c r="B322" s="66"/>
      <c r="C322" s="67" t="b">
        <v>1</v>
      </c>
      <c r="D322" s="68" t="str">
        <f>IFS(C322=FALSE, "Session 4", C322=TRUE, "Session 4 Completed", TRUE, "")</f>
        <v>Session 4 Completed</v>
      </c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70">
        <v>45672.0</v>
      </c>
      <c r="T322" s="69"/>
      <c r="U322" s="23"/>
    </row>
    <row r="323" ht="30.0" customHeight="1">
      <c r="A323" s="13"/>
      <c r="B323" s="71"/>
      <c r="C323" s="72" t="s">
        <v>8</v>
      </c>
      <c r="D323" s="72"/>
      <c r="E323" s="73" t="s">
        <v>9</v>
      </c>
      <c r="F323" s="73" t="s">
        <v>10</v>
      </c>
      <c r="G323" s="74" t="s">
        <v>11</v>
      </c>
      <c r="H323" s="73" t="s">
        <v>12</v>
      </c>
      <c r="I323" s="73" t="s">
        <v>13</v>
      </c>
      <c r="J323" s="75"/>
      <c r="K323" s="75"/>
      <c r="L323" s="75"/>
      <c r="M323" s="75"/>
      <c r="N323" s="75"/>
      <c r="O323" s="75"/>
      <c r="P323" s="75"/>
      <c r="Q323" s="75"/>
      <c r="R323" s="75"/>
      <c r="S323" s="73" t="s">
        <v>15</v>
      </c>
      <c r="T323" s="73" t="s">
        <v>51</v>
      </c>
    </row>
    <row r="324" ht="26.25" customHeight="1">
      <c r="A324" s="13"/>
      <c r="B324" s="71"/>
      <c r="C324" s="72" t="s">
        <v>8</v>
      </c>
      <c r="D324" s="72"/>
      <c r="E324" s="73" t="s">
        <v>9</v>
      </c>
      <c r="F324" s="73" t="s">
        <v>10</v>
      </c>
      <c r="G324" s="74" t="s">
        <v>11</v>
      </c>
      <c r="H324" s="73" t="s">
        <v>12</v>
      </c>
      <c r="I324" s="73" t="s">
        <v>13</v>
      </c>
      <c r="J324" s="93"/>
      <c r="K324" s="93"/>
      <c r="L324" s="93"/>
      <c r="M324" s="93"/>
      <c r="N324" s="93"/>
      <c r="O324" s="93"/>
      <c r="P324" s="93"/>
      <c r="Q324" s="93"/>
      <c r="R324" s="93"/>
      <c r="S324" s="31"/>
      <c r="T324" s="31"/>
    </row>
    <row r="325" ht="26.25" customHeight="1">
      <c r="A325" s="13"/>
      <c r="B325" s="94" t="s">
        <v>17</v>
      </c>
      <c r="C325" s="95" t="s">
        <v>25</v>
      </c>
      <c r="D325" s="96"/>
      <c r="E325" s="94">
        <v>4.0</v>
      </c>
      <c r="F325" s="97">
        <v>10.0</v>
      </c>
      <c r="G325" s="97"/>
      <c r="H325" s="94"/>
      <c r="I325" s="98">
        <v>35.0</v>
      </c>
      <c r="J325" s="98">
        <v>30.0</v>
      </c>
      <c r="K325" s="98">
        <v>30.0</v>
      </c>
      <c r="L325" s="98">
        <v>30.0</v>
      </c>
      <c r="M325" s="41"/>
      <c r="N325" s="41"/>
      <c r="O325" s="41"/>
      <c r="P325" s="41"/>
      <c r="Q325" s="41"/>
      <c r="R325" s="41"/>
      <c r="S325" s="30" t="s">
        <v>123</v>
      </c>
      <c r="T325" s="31"/>
    </row>
    <row r="326" ht="26.25" customHeight="1">
      <c r="A326" s="13"/>
      <c r="B326" s="30" t="s">
        <v>26</v>
      </c>
      <c r="C326" s="25" t="s">
        <v>27</v>
      </c>
      <c r="D326" s="26"/>
      <c r="E326" s="24">
        <v>4.0</v>
      </c>
      <c r="F326" s="27">
        <v>10.0</v>
      </c>
      <c r="G326" s="27"/>
      <c r="H326" s="24"/>
      <c r="I326" s="42">
        <v>25.0</v>
      </c>
      <c r="J326" s="42">
        <v>25.0</v>
      </c>
      <c r="K326" s="42">
        <v>25.0</v>
      </c>
      <c r="L326" s="42">
        <v>25.0</v>
      </c>
      <c r="M326" s="42"/>
      <c r="N326" s="42"/>
      <c r="O326" s="42"/>
      <c r="P326" s="42"/>
      <c r="Q326" s="42"/>
      <c r="R326" s="42"/>
      <c r="S326" s="30" t="s">
        <v>123</v>
      </c>
      <c r="T326" s="31"/>
    </row>
    <row r="327" ht="26.25" customHeight="1">
      <c r="A327" s="13"/>
      <c r="B327" s="99" t="s">
        <v>21</v>
      </c>
      <c r="C327" s="95" t="s">
        <v>28</v>
      </c>
      <c r="D327" s="96"/>
      <c r="E327" s="94">
        <v>4.0</v>
      </c>
      <c r="F327" s="97">
        <v>10.0</v>
      </c>
      <c r="G327" s="97"/>
      <c r="H327" s="94"/>
      <c r="I327" s="100">
        <v>50.0</v>
      </c>
      <c r="J327" s="100">
        <v>50.0</v>
      </c>
      <c r="K327" s="100">
        <v>50.0</v>
      </c>
      <c r="L327" s="100">
        <v>50.0</v>
      </c>
      <c r="M327" s="42"/>
      <c r="N327" s="42"/>
      <c r="O327" s="42"/>
      <c r="P327" s="42"/>
      <c r="Q327" s="42"/>
      <c r="R327" s="42"/>
      <c r="S327" s="30"/>
      <c r="T327" s="31"/>
    </row>
    <row r="328" ht="26.25" customHeight="1">
      <c r="A328" s="13"/>
      <c r="B328" s="30" t="s">
        <v>124</v>
      </c>
      <c r="C328" s="32" t="s">
        <v>125</v>
      </c>
      <c r="D328" s="33"/>
      <c r="E328" s="30">
        <v>4.0</v>
      </c>
      <c r="F328" s="38">
        <v>10.0</v>
      </c>
      <c r="G328" s="38"/>
      <c r="H328" s="30"/>
      <c r="I328" s="42">
        <v>55.0</v>
      </c>
      <c r="J328" s="42">
        <v>55.0</v>
      </c>
      <c r="K328" s="42">
        <v>70.0</v>
      </c>
      <c r="L328" s="42">
        <v>70.0</v>
      </c>
      <c r="M328" s="42"/>
      <c r="N328" s="42"/>
      <c r="O328" s="42"/>
      <c r="P328" s="42"/>
      <c r="Q328" s="42"/>
      <c r="R328" s="42"/>
      <c r="S328" s="30" t="s">
        <v>123</v>
      </c>
      <c r="T328" s="31"/>
    </row>
    <row r="329" ht="26.25" customHeight="1">
      <c r="A329" s="13"/>
      <c r="B329" s="35"/>
      <c r="C329" s="32" t="str">
        <f>IF(D329&lt;&gt;"", HYPERLINK(VLOOKUP(D329, DATA!H:K, 4, FALSE), D329), "")</f>
        <v/>
      </c>
      <c r="D329" s="33"/>
      <c r="E329" s="30"/>
      <c r="F329" s="27"/>
      <c r="G329" s="38"/>
      <c r="H329" s="30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31"/>
      <c r="T329" s="31"/>
    </row>
    <row r="330" ht="26.25" customHeight="1">
      <c r="A330" s="13"/>
      <c r="B330" s="36"/>
      <c r="C330" s="32" t="str">
        <f>IF(D330&lt;&gt;"", HYPERLINK(VLOOKUP(D330, DATA!H:K, 4, FALSE), D330), "")</f>
        <v/>
      </c>
      <c r="D330" s="33"/>
      <c r="E330" s="30"/>
      <c r="F330" s="27"/>
      <c r="G330" s="38"/>
      <c r="H330" s="30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31"/>
      <c r="T330" s="31"/>
    </row>
    <row r="331" ht="26.25" customHeight="1">
      <c r="A331" s="13"/>
      <c r="B331" s="31"/>
      <c r="C331" s="32" t="str">
        <f>IF(D331&lt;&gt;"", HYPERLINK(VLOOKUP(D331, DATA!H:K, 4, FALSE), D331), "")</f>
        <v/>
      </c>
      <c r="D331" s="33"/>
      <c r="E331" s="30"/>
      <c r="F331" s="27"/>
      <c r="G331" s="38"/>
      <c r="H331" s="30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31"/>
      <c r="T331" s="31"/>
    </row>
    <row r="332" ht="11.25" customHeight="1">
      <c r="A332" s="13"/>
      <c r="B332" s="37"/>
      <c r="T332" s="37"/>
    </row>
    <row r="333" ht="11.25" customHeight="1">
      <c r="A333" s="13"/>
      <c r="B333" s="39"/>
      <c r="T333" s="39"/>
      <c r="U333" s="16"/>
    </row>
    <row r="334" ht="30.0" customHeight="1">
      <c r="A334" s="13"/>
      <c r="B334" s="66"/>
      <c r="C334" s="67" t="b">
        <v>1</v>
      </c>
      <c r="D334" s="68" t="str">
        <f>IFS(C334=FALSE, "Session 5", C334=TRUE, "Session 5 Completed", TRUE, "")</f>
        <v>Session 5 Completed</v>
      </c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70">
        <v>45673.0</v>
      </c>
      <c r="T334" s="69"/>
      <c r="U334" s="23"/>
    </row>
    <row r="335" ht="30.0" customHeight="1">
      <c r="A335" s="13"/>
      <c r="B335" s="71"/>
      <c r="C335" s="72" t="s">
        <v>8</v>
      </c>
      <c r="D335" s="72"/>
      <c r="E335" s="73" t="s">
        <v>9</v>
      </c>
      <c r="F335" s="73" t="s">
        <v>10</v>
      </c>
      <c r="G335" s="74" t="s">
        <v>11</v>
      </c>
      <c r="H335" s="73" t="s">
        <v>12</v>
      </c>
      <c r="I335" s="73" t="s">
        <v>13</v>
      </c>
      <c r="J335" s="75"/>
      <c r="K335" s="75"/>
      <c r="L335" s="75"/>
      <c r="M335" s="75"/>
      <c r="N335" s="75"/>
      <c r="O335" s="75"/>
      <c r="P335" s="75"/>
      <c r="Q335" s="75"/>
      <c r="R335" s="75"/>
      <c r="S335" s="73" t="s">
        <v>15</v>
      </c>
      <c r="T335" s="73" t="s">
        <v>51</v>
      </c>
    </row>
    <row r="336" ht="26.25" customHeight="1">
      <c r="A336" s="13"/>
      <c r="B336" s="30" t="s">
        <v>17</v>
      </c>
      <c r="C336" s="32" t="s">
        <v>30</v>
      </c>
      <c r="D336" s="33"/>
      <c r="E336" s="30">
        <v>4.0</v>
      </c>
      <c r="F336" s="38">
        <v>10.0</v>
      </c>
      <c r="G336" s="38"/>
      <c r="H336" s="30"/>
      <c r="I336" s="41">
        <v>85.0</v>
      </c>
      <c r="J336" s="41">
        <v>95.0</v>
      </c>
      <c r="K336" s="41">
        <v>95.0</v>
      </c>
      <c r="L336" s="41">
        <v>95.0</v>
      </c>
      <c r="M336" s="41"/>
      <c r="N336" s="41"/>
      <c r="O336" s="41"/>
      <c r="P336" s="41"/>
      <c r="Q336" s="41"/>
      <c r="R336" s="41"/>
      <c r="S336" s="30"/>
      <c r="T336" s="31"/>
    </row>
    <row r="337" ht="26.25" customHeight="1">
      <c r="A337" s="13"/>
      <c r="B337" s="30" t="s">
        <v>21</v>
      </c>
      <c r="C337" s="32" t="s">
        <v>114</v>
      </c>
      <c r="D337" s="33"/>
      <c r="E337" s="30">
        <v>4.0</v>
      </c>
      <c r="F337" s="38">
        <v>10.0</v>
      </c>
      <c r="G337" s="38"/>
      <c r="H337" s="30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30" t="s">
        <v>115</v>
      </c>
      <c r="T337" s="31"/>
    </row>
    <row r="338" ht="26.25" customHeight="1">
      <c r="A338" s="13"/>
      <c r="B338" s="30" t="s">
        <v>26</v>
      </c>
      <c r="C338" s="32" t="s">
        <v>126</v>
      </c>
      <c r="D338" s="33"/>
      <c r="E338" s="30">
        <v>2.0</v>
      </c>
      <c r="F338" s="38">
        <v>20.0</v>
      </c>
      <c r="G338" s="38"/>
      <c r="H338" s="30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30" t="s">
        <v>115</v>
      </c>
      <c r="T338" s="31"/>
    </row>
    <row r="339" ht="26.25" customHeight="1">
      <c r="A339" s="13"/>
      <c r="B339" s="30"/>
      <c r="C339" s="32" t="str">
        <f>IF(D339&lt;&gt;"", HYPERLINK(VLOOKUP(D339, DATA!H:K, 4, FALSE), D339), "")</f>
        <v/>
      </c>
      <c r="D339" s="33"/>
      <c r="E339" s="30"/>
      <c r="F339" s="27"/>
      <c r="G339" s="38"/>
      <c r="H339" s="30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31"/>
      <c r="T339" s="31"/>
    </row>
    <row r="340" ht="26.25" customHeight="1">
      <c r="A340" s="13"/>
      <c r="B340" s="30"/>
      <c r="C340" s="32" t="str">
        <f>IF(D340&lt;&gt;"", HYPERLINK(VLOOKUP(D340, DATA!H:K, 4, FALSE), D340), "")</f>
        <v/>
      </c>
      <c r="D340" s="33"/>
      <c r="E340" s="30"/>
      <c r="F340" s="27"/>
      <c r="G340" s="38"/>
      <c r="H340" s="30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31"/>
      <c r="T340" s="31"/>
    </row>
    <row r="341" ht="26.25" customHeight="1">
      <c r="A341" s="13"/>
      <c r="B341" s="35"/>
      <c r="C341" s="32" t="str">
        <f>IF(D341&lt;&gt;"", HYPERLINK(VLOOKUP(D341, DATA!H:K, 4, FALSE), D341), "")</f>
        <v/>
      </c>
      <c r="D341" s="33"/>
      <c r="E341" s="30"/>
      <c r="F341" s="27"/>
      <c r="G341" s="38"/>
      <c r="H341" s="30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31"/>
      <c r="T341" s="31"/>
    </row>
    <row r="342" ht="26.25" customHeight="1">
      <c r="A342" s="13"/>
      <c r="B342" s="36"/>
      <c r="C342" s="32" t="str">
        <f>IF(D342&lt;&gt;"", HYPERLINK(VLOOKUP(D342, DATA!H:K, 4, FALSE), D342), "")</f>
        <v/>
      </c>
      <c r="D342" s="33"/>
      <c r="E342" s="30"/>
      <c r="F342" s="27"/>
      <c r="G342" s="38"/>
      <c r="H342" s="30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31"/>
      <c r="T342" s="31"/>
    </row>
    <row r="343" ht="26.25" customHeight="1">
      <c r="A343" s="13"/>
      <c r="B343" s="31"/>
      <c r="C343" s="32" t="str">
        <f>IF(D343&lt;&gt;"", HYPERLINK(VLOOKUP(D343, DATA!H:K, 4, FALSE), D343), "")</f>
        <v/>
      </c>
      <c r="D343" s="33"/>
      <c r="E343" s="30"/>
      <c r="F343" s="27"/>
      <c r="G343" s="38"/>
      <c r="H343" s="30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31"/>
      <c r="T343" s="31"/>
    </row>
    <row r="344" ht="11.25" customHeight="1">
      <c r="A344" s="13"/>
      <c r="B344" s="37"/>
      <c r="T344" s="37"/>
    </row>
    <row r="345" ht="11.25" customHeight="1">
      <c r="A345" s="13"/>
      <c r="B345" s="39"/>
      <c r="T345" s="39"/>
      <c r="U345" s="16"/>
    </row>
    <row r="346" ht="30.0" customHeight="1">
      <c r="A346" s="13"/>
      <c r="B346" s="66"/>
      <c r="C346" s="67" t="b">
        <v>1</v>
      </c>
      <c r="D346" s="68" t="str">
        <f>IFS(C346=FALSE, "Session 6", C346=TRUE, "Session 6 Completed", TRUE, "")</f>
        <v>Session 6 Completed</v>
      </c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70">
        <v>45674.0</v>
      </c>
      <c r="T346" s="69"/>
      <c r="U346" s="23"/>
    </row>
    <row r="347" ht="30.0" customHeight="1">
      <c r="A347" s="13"/>
      <c r="B347" s="71"/>
      <c r="C347" s="72" t="s">
        <v>8</v>
      </c>
      <c r="D347" s="72"/>
      <c r="E347" s="73" t="s">
        <v>9</v>
      </c>
      <c r="F347" s="73" t="s">
        <v>10</v>
      </c>
      <c r="G347" s="74" t="s">
        <v>11</v>
      </c>
      <c r="H347" s="73" t="s">
        <v>12</v>
      </c>
      <c r="I347" s="73" t="s">
        <v>13</v>
      </c>
      <c r="J347" s="75"/>
      <c r="K347" s="75"/>
      <c r="L347" s="75"/>
      <c r="M347" s="75"/>
      <c r="N347" s="75"/>
      <c r="O347" s="75"/>
      <c r="P347" s="75"/>
      <c r="Q347" s="75"/>
      <c r="R347" s="75"/>
      <c r="S347" s="73" t="s">
        <v>15</v>
      </c>
      <c r="T347" s="73" t="s">
        <v>51</v>
      </c>
    </row>
    <row r="348" ht="26.25" customHeight="1">
      <c r="A348" s="13"/>
      <c r="B348" s="30" t="s">
        <v>17</v>
      </c>
      <c r="C348" s="32" t="s">
        <v>39</v>
      </c>
      <c r="D348" s="33" t="s">
        <v>36</v>
      </c>
      <c r="E348" s="30">
        <v>4.0</v>
      </c>
      <c r="F348" s="38">
        <v>10.0</v>
      </c>
      <c r="G348" s="38"/>
      <c r="H348" s="30"/>
      <c r="I348" s="41">
        <v>15.0</v>
      </c>
      <c r="J348" s="41">
        <v>17.5</v>
      </c>
      <c r="K348" s="41">
        <v>17.5</v>
      </c>
      <c r="L348" s="41">
        <v>17.5</v>
      </c>
      <c r="M348" s="41"/>
      <c r="N348" s="41"/>
      <c r="O348" s="41"/>
      <c r="P348" s="41"/>
      <c r="Q348" s="41"/>
      <c r="R348" s="41"/>
      <c r="S348" s="31"/>
      <c r="T348" s="31"/>
    </row>
    <row r="349" ht="26.25" customHeight="1">
      <c r="A349" s="13"/>
      <c r="B349" s="30" t="s">
        <v>21</v>
      </c>
      <c r="C349" s="32" t="s">
        <v>41</v>
      </c>
      <c r="D349" s="33"/>
      <c r="E349" s="30">
        <v>4.0</v>
      </c>
      <c r="F349" s="38">
        <v>10.0</v>
      </c>
      <c r="G349" s="38"/>
      <c r="H349" s="30"/>
      <c r="I349" s="42">
        <v>40.0</v>
      </c>
      <c r="J349" s="42">
        <v>40.0</v>
      </c>
      <c r="K349" s="42">
        <v>40.0</v>
      </c>
      <c r="L349" s="42">
        <v>40.0</v>
      </c>
      <c r="M349" s="42"/>
      <c r="N349" s="42"/>
      <c r="O349" s="42"/>
      <c r="P349" s="42"/>
      <c r="Q349" s="42"/>
      <c r="R349" s="42"/>
      <c r="S349" s="31"/>
      <c r="T349" s="31"/>
    </row>
    <row r="350" ht="26.25" customHeight="1">
      <c r="A350" s="13"/>
      <c r="B350" s="30"/>
      <c r="C350" s="32" t="str">
        <f>IF(D350&lt;&gt;"", HYPERLINK(VLOOKUP(D350, DATA!H:K, 4, FALSE), D350), "")</f>
        <v/>
      </c>
      <c r="D350" s="33"/>
      <c r="E350" s="30"/>
      <c r="F350" s="27"/>
      <c r="G350" s="38"/>
      <c r="H350" s="30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31"/>
      <c r="T350" s="31"/>
    </row>
    <row r="351" ht="26.25" customHeight="1">
      <c r="A351" s="13"/>
      <c r="B351" s="30"/>
      <c r="C351" s="32" t="str">
        <f>IF(D351&lt;&gt;"", HYPERLINK(VLOOKUP(D351, DATA!H:K, 4, FALSE), D351), "")</f>
        <v/>
      </c>
      <c r="D351" s="33"/>
      <c r="E351" s="30"/>
      <c r="F351" s="27"/>
      <c r="G351" s="38"/>
      <c r="H351" s="30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31"/>
      <c r="T351" s="31"/>
    </row>
    <row r="352" ht="26.25" customHeight="1">
      <c r="A352" s="13"/>
      <c r="B352" s="30"/>
      <c r="C352" s="32" t="str">
        <f>IF(D352&lt;&gt;"", HYPERLINK(VLOOKUP(D352, DATA!H:K, 4, FALSE), D352), "")</f>
        <v/>
      </c>
      <c r="D352" s="33"/>
      <c r="E352" s="30"/>
      <c r="F352" s="27"/>
      <c r="G352" s="38"/>
      <c r="H352" s="30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31"/>
      <c r="T352" s="31"/>
    </row>
    <row r="353" ht="26.25" customHeight="1">
      <c r="A353" s="13"/>
      <c r="B353" s="35"/>
      <c r="C353" s="32" t="str">
        <f>IF(D353&lt;&gt;"", HYPERLINK(VLOOKUP(D353, DATA!H:K, 4, FALSE), D353), "")</f>
        <v/>
      </c>
      <c r="D353" s="33"/>
      <c r="E353" s="30"/>
      <c r="F353" s="27"/>
      <c r="G353" s="38"/>
      <c r="H353" s="30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31"/>
      <c r="T353" s="31"/>
    </row>
    <row r="354" ht="26.25" customHeight="1">
      <c r="A354" s="13"/>
      <c r="B354" s="36"/>
      <c r="C354" s="32" t="str">
        <f>IF(D354&lt;&gt;"", HYPERLINK(VLOOKUP(D354, DATA!H:K, 4, FALSE), D354), "")</f>
        <v/>
      </c>
      <c r="D354" s="33"/>
      <c r="E354" s="30"/>
      <c r="F354" s="27"/>
      <c r="G354" s="38"/>
      <c r="H354" s="30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31"/>
      <c r="T354" s="31"/>
    </row>
    <row r="355" ht="26.25" customHeight="1">
      <c r="A355" s="13"/>
      <c r="B355" s="31"/>
      <c r="C355" s="32" t="str">
        <f>IF(D355&lt;&gt;"", HYPERLINK(VLOOKUP(D355, DATA!H:K, 4, FALSE), D355), "")</f>
        <v/>
      </c>
      <c r="D355" s="33"/>
      <c r="E355" s="30"/>
      <c r="F355" s="27"/>
      <c r="G355" s="38"/>
      <c r="H355" s="30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31"/>
      <c r="T355" s="31"/>
    </row>
    <row r="356" ht="11.25" customHeight="1">
      <c r="A356" s="13"/>
      <c r="B356" s="37"/>
      <c r="T356" s="37"/>
    </row>
    <row r="357" ht="11.25" customHeight="1">
      <c r="A357" s="13"/>
      <c r="B357" s="39"/>
      <c r="T357" s="39"/>
      <c r="U357" s="16"/>
    </row>
    <row r="358" ht="11.25" customHeight="1">
      <c r="A358" s="13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16"/>
    </row>
    <row r="359" ht="11.25" customHeight="1">
      <c r="A359" s="13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16"/>
    </row>
    <row r="360" ht="11.25" customHeight="1">
      <c r="A360" s="13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16"/>
    </row>
    <row r="361" ht="11.25" customHeight="1">
      <c r="A361" s="13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16"/>
    </row>
    <row r="362" ht="11.25" customHeight="1">
      <c r="A362" s="13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16"/>
    </row>
    <row r="363" ht="11.25" customHeight="1">
      <c r="A363" s="13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16"/>
    </row>
    <row r="364" ht="11.25" customHeight="1">
      <c r="A364" s="13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16"/>
    </row>
    <row r="365" ht="11.25" customHeight="1">
      <c r="A365" s="13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16"/>
    </row>
    <row r="366" ht="11.25" customHeight="1">
      <c r="A366" s="13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16"/>
    </row>
    <row r="367" ht="11.25" customHeight="1">
      <c r="A367" s="13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16"/>
    </row>
    <row r="368" ht="11.25" customHeight="1">
      <c r="A368" s="13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16"/>
    </row>
    <row r="369" ht="11.25" customHeight="1">
      <c r="A369" s="13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16"/>
    </row>
    <row r="370" ht="11.25" customHeight="1">
      <c r="A370" s="13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16"/>
    </row>
    <row r="371" ht="11.25" customHeight="1">
      <c r="A371" s="13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16"/>
    </row>
    <row r="372" ht="11.25" customHeight="1">
      <c r="A372" s="13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16"/>
    </row>
    <row r="373" ht="11.25" customHeight="1">
      <c r="A373" s="13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16"/>
    </row>
    <row r="374" ht="11.25" customHeight="1">
      <c r="A374" s="13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16"/>
    </row>
    <row r="375" ht="11.25" customHeight="1">
      <c r="A375" s="13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16"/>
    </row>
    <row r="376" ht="11.25" customHeight="1">
      <c r="A376" s="13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16"/>
    </row>
    <row r="377" ht="11.25" customHeight="1">
      <c r="A377" s="13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16"/>
    </row>
    <row r="378" ht="11.25" customHeight="1">
      <c r="A378" s="13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16"/>
    </row>
    <row r="379" ht="11.25" customHeight="1">
      <c r="A379" s="13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16"/>
    </row>
    <row r="380" ht="11.25" customHeight="1">
      <c r="A380" s="13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16"/>
    </row>
    <row r="381" ht="11.25" customHeight="1">
      <c r="A381" s="13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16"/>
    </row>
    <row r="382" ht="11.25" customHeight="1">
      <c r="A382" s="13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16"/>
    </row>
    <row r="383" ht="11.25" customHeight="1">
      <c r="A383" s="13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16"/>
    </row>
    <row r="384" ht="11.25" customHeight="1">
      <c r="A384" s="13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16"/>
    </row>
    <row r="385" ht="11.25" customHeight="1">
      <c r="A385" s="13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16"/>
    </row>
    <row r="386" ht="11.25" customHeight="1">
      <c r="A386" s="13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16"/>
    </row>
    <row r="387" ht="11.25" customHeight="1">
      <c r="A387" s="13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16"/>
    </row>
    <row r="388" ht="11.25" customHeight="1">
      <c r="A388" s="13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16"/>
    </row>
    <row r="389" ht="11.25" customHeight="1">
      <c r="A389" s="13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16"/>
    </row>
    <row r="390" ht="11.25" customHeight="1">
      <c r="A390" s="13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16"/>
    </row>
    <row r="391" ht="11.25" customHeight="1">
      <c r="A391" s="13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16"/>
    </row>
    <row r="392" ht="11.25" customHeight="1">
      <c r="A392" s="13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16"/>
    </row>
    <row r="393" ht="11.25" customHeight="1">
      <c r="A393" s="13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16"/>
    </row>
    <row r="394" ht="11.25" customHeight="1">
      <c r="A394" s="13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16"/>
    </row>
    <row r="395" ht="11.25" customHeight="1">
      <c r="A395" s="13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16"/>
    </row>
    <row r="396" ht="11.25" customHeight="1">
      <c r="A396" s="13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16"/>
    </row>
    <row r="397" ht="11.25" customHeight="1">
      <c r="A397" s="13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16"/>
    </row>
    <row r="398" ht="11.25" customHeight="1">
      <c r="A398" s="13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16"/>
    </row>
    <row r="399" ht="11.25" customHeight="1">
      <c r="A399" s="13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16"/>
    </row>
    <row r="400" ht="11.25" customHeight="1">
      <c r="A400" s="13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16"/>
    </row>
    <row r="401" ht="11.25" customHeight="1">
      <c r="A401" s="13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16"/>
    </row>
    <row r="402" ht="11.25" customHeight="1">
      <c r="A402" s="13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16"/>
    </row>
    <row r="403" ht="11.25" customHeight="1">
      <c r="A403" s="13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16"/>
    </row>
    <row r="404" ht="11.25" customHeight="1">
      <c r="A404" s="13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16"/>
    </row>
    <row r="405" ht="11.25" customHeight="1">
      <c r="A405" s="13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16"/>
    </row>
    <row r="406" ht="11.25" customHeight="1">
      <c r="A406" s="13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16"/>
    </row>
    <row r="407" ht="11.25" customHeight="1">
      <c r="A407" s="13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16"/>
    </row>
    <row r="408" ht="11.25" customHeight="1">
      <c r="A408" s="13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16"/>
    </row>
    <row r="409" ht="11.25" customHeight="1">
      <c r="A409" s="13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16"/>
    </row>
    <row r="410" ht="11.25" customHeight="1">
      <c r="A410" s="13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16"/>
    </row>
    <row r="411" ht="11.25" customHeight="1">
      <c r="A411" s="13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16"/>
    </row>
    <row r="412" ht="11.25" customHeight="1">
      <c r="A412" s="13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16"/>
    </row>
    <row r="413" ht="11.25" customHeight="1">
      <c r="A413" s="13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16"/>
    </row>
    <row r="414" ht="11.25" customHeight="1">
      <c r="A414" s="13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16"/>
    </row>
    <row r="415" ht="11.25" customHeight="1">
      <c r="A415" s="13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16"/>
    </row>
    <row r="416" ht="11.25" customHeight="1">
      <c r="A416" s="13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16"/>
    </row>
    <row r="417" ht="11.25" customHeight="1">
      <c r="A417" s="13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16"/>
    </row>
    <row r="418" ht="11.25" customHeight="1">
      <c r="A418" s="13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16"/>
    </row>
    <row r="419" ht="11.25" customHeight="1">
      <c r="A419" s="13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16"/>
    </row>
    <row r="420" ht="11.25" customHeight="1">
      <c r="A420" s="13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16"/>
    </row>
    <row r="421" ht="11.25" customHeight="1">
      <c r="A421" s="13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16"/>
    </row>
    <row r="422" ht="11.25" customHeight="1">
      <c r="A422" s="13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16"/>
    </row>
    <row r="423" ht="11.25" customHeight="1">
      <c r="A423" s="13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16"/>
    </row>
    <row r="424" ht="11.25" customHeight="1">
      <c r="A424" s="13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16"/>
    </row>
    <row r="425" ht="11.25" customHeight="1">
      <c r="A425" s="13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16"/>
    </row>
    <row r="426" ht="11.25" customHeight="1">
      <c r="A426" s="13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16"/>
    </row>
    <row r="427" ht="11.25" customHeight="1">
      <c r="A427" s="13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16"/>
    </row>
    <row r="428" ht="11.25" customHeight="1">
      <c r="A428" s="13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16"/>
    </row>
    <row r="429" ht="11.25" customHeight="1">
      <c r="A429" s="13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16"/>
    </row>
    <row r="430" ht="11.25" customHeight="1">
      <c r="A430" s="13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16"/>
    </row>
    <row r="431" ht="11.25" customHeight="1">
      <c r="A431" s="13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16"/>
    </row>
    <row r="432" ht="11.25" customHeight="1">
      <c r="A432" s="13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16"/>
    </row>
    <row r="433" ht="11.25" customHeight="1">
      <c r="A433" s="13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16"/>
    </row>
    <row r="434" ht="11.25" customHeight="1">
      <c r="A434" s="13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16"/>
    </row>
    <row r="435" ht="11.25" customHeight="1">
      <c r="A435" s="13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16"/>
    </row>
    <row r="436" ht="11.25" customHeight="1">
      <c r="A436" s="13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16"/>
    </row>
    <row r="437" ht="11.25" customHeight="1">
      <c r="A437" s="13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16"/>
    </row>
    <row r="438" ht="11.25" customHeight="1">
      <c r="A438" s="13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16"/>
    </row>
    <row r="439" ht="11.25" customHeight="1">
      <c r="A439" s="13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16"/>
    </row>
    <row r="440" ht="11.25" customHeight="1">
      <c r="A440" s="13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16"/>
    </row>
    <row r="441" ht="11.25" customHeight="1">
      <c r="A441" s="13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16"/>
    </row>
    <row r="442" ht="11.25" customHeight="1">
      <c r="A442" s="13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16"/>
    </row>
    <row r="443" ht="11.25" customHeight="1">
      <c r="A443" s="13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16"/>
    </row>
    <row r="444" ht="11.25" customHeight="1">
      <c r="A444" s="13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16"/>
    </row>
    <row r="445" ht="11.25" customHeight="1">
      <c r="A445" s="13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16"/>
    </row>
    <row r="446" ht="11.25" customHeight="1">
      <c r="A446" s="13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16"/>
    </row>
    <row r="447" ht="11.25" customHeight="1">
      <c r="A447" s="13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16"/>
    </row>
    <row r="448" ht="11.25" customHeight="1">
      <c r="A448" s="13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16"/>
    </row>
    <row r="449" ht="11.25" customHeight="1">
      <c r="A449" s="13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16"/>
    </row>
    <row r="450" ht="11.25" customHeight="1">
      <c r="A450" s="13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16"/>
    </row>
    <row r="451" ht="11.25" customHeight="1">
      <c r="A451" s="13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16"/>
    </row>
    <row r="452" ht="11.25" customHeight="1">
      <c r="A452" s="13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16"/>
    </row>
    <row r="453" ht="11.25" customHeight="1">
      <c r="A453" s="13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16"/>
    </row>
    <row r="454" ht="11.25" customHeight="1">
      <c r="A454" s="13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16"/>
    </row>
    <row r="455" ht="11.25" customHeight="1">
      <c r="A455" s="13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16"/>
    </row>
    <row r="456" ht="11.25" customHeight="1">
      <c r="A456" s="13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16"/>
    </row>
    <row r="457" ht="11.25" customHeight="1">
      <c r="A457" s="13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16"/>
    </row>
    <row r="458" ht="11.25" customHeight="1">
      <c r="A458" s="13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16"/>
    </row>
    <row r="459" ht="11.25" customHeight="1">
      <c r="A459" s="13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16"/>
    </row>
    <row r="460" ht="11.25" customHeight="1">
      <c r="A460" s="13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16"/>
    </row>
    <row r="461" ht="11.25" customHeight="1">
      <c r="A461" s="13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16"/>
    </row>
    <row r="462" ht="11.25" customHeight="1">
      <c r="A462" s="13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16"/>
    </row>
    <row r="463" ht="11.25" customHeight="1">
      <c r="A463" s="13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16"/>
    </row>
    <row r="464" ht="11.25" customHeight="1">
      <c r="A464" s="13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16"/>
    </row>
    <row r="465" ht="11.25" customHeight="1">
      <c r="A465" s="13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16"/>
    </row>
    <row r="466" ht="11.25" customHeight="1">
      <c r="A466" s="13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16"/>
    </row>
    <row r="467" ht="11.25" customHeight="1">
      <c r="A467" s="13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16"/>
    </row>
    <row r="468" ht="11.25" customHeight="1">
      <c r="A468" s="13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16"/>
    </row>
    <row r="469" ht="11.25" customHeight="1">
      <c r="A469" s="13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16"/>
    </row>
    <row r="470" ht="11.25" customHeight="1">
      <c r="A470" s="13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16"/>
    </row>
    <row r="471" ht="11.25" customHeight="1">
      <c r="A471" s="13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16"/>
    </row>
    <row r="472" ht="11.25" customHeight="1">
      <c r="A472" s="13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16"/>
    </row>
    <row r="473" ht="11.25" customHeight="1">
      <c r="A473" s="13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16"/>
    </row>
    <row r="474" ht="11.25" customHeight="1">
      <c r="A474" s="13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16"/>
    </row>
    <row r="475" ht="11.25" customHeight="1">
      <c r="A475" s="13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16"/>
    </row>
    <row r="476" ht="11.25" customHeight="1">
      <c r="A476" s="13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16"/>
    </row>
    <row r="477" ht="11.25" customHeight="1">
      <c r="A477" s="13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16"/>
    </row>
    <row r="478" ht="11.25" customHeight="1">
      <c r="A478" s="13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16"/>
    </row>
    <row r="479" ht="11.25" customHeight="1">
      <c r="A479" s="13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16"/>
    </row>
    <row r="480" ht="11.25" customHeight="1">
      <c r="A480" s="13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16"/>
    </row>
    <row r="481" ht="11.25" customHeight="1">
      <c r="A481" s="13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16"/>
    </row>
    <row r="482" ht="11.25" customHeight="1">
      <c r="A482" s="13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16"/>
    </row>
    <row r="483" ht="11.25" customHeight="1">
      <c r="A483" s="13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16"/>
    </row>
    <row r="484" ht="11.25" customHeight="1">
      <c r="A484" s="13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16"/>
    </row>
    <row r="485" ht="11.25" customHeight="1">
      <c r="A485" s="13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16"/>
    </row>
    <row r="486" ht="11.25" customHeight="1">
      <c r="A486" s="13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16"/>
    </row>
    <row r="487" ht="11.25" customHeight="1">
      <c r="A487" s="13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16"/>
    </row>
    <row r="488" ht="11.25" customHeight="1">
      <c r="A488" s="13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16"/>
    </row>
    <row r="489" ht="11.25" customHeight="1">
      <c r="A489" s="13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16"/>
    </row>
    <row r="490" ht="11.25" customHeight="1">
      <c r="A490" s="13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16"/>
    </row>
    <row r="491" ht="11.25" customHeight="1">
      <c r="A491" s="13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16"/>
    </row>
    <row r="492" ht="11.25" customHeight="1">
      <c r="A492" s="13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16"/>
    </row>
    <row r="493" ht="11.25" customHeight="1">
      <c r="A493" s="13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16"/>
    </row>
    <row r="494" ht="11.25" customHeight="1">
      <c r="A494" s="13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16"/>
    </row>
    <row r="495" ht="11.25" customHeight="1">
      <c r="A495" s="13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16"/>
    </row>
    <row r="496" ht="11.25" customHeight="1">
      <c r="A496" s="13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16"/>
    </row>
    <row r="497" ht="11.25" customHeight="1">
      <c r="A497" s="13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16"/>
    </row>
    <row r="498" ht="11.25" customHeight="1">
      <c r="A498" s="13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16"/>
    </row>
    <row r="499" ht="11.25" customHeight="1">
      <c r="A499" s="13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16"/>
    </row>
    <row r="500" ht="11.25" customHeight="1">
      <c r="A500" s="13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16"/>
    </row>
    <row r="501" ht="11.25" customHeight="1">
      <c r="A501" s="13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16"/>
    </row>
    <row r="502" ht="11.25" customHeight="1">
      <c r="A502" s="13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16"/>
    </row>
    <row r="503" ht="11.25" customHeight="1">
      <c r="A503" s="13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16"/>
    </row>
    <row r="504" ht="11.25" customHeight="1">
      <c r="A504" s="13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16"/>
    </row>
    <row r="505" ht="11.25" customHeight="1">
      <c r="A505" s="13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16"/>
    </row>
    <row r="506" ht="11.25" customHeight="1">
      <c r="A506" s="13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16"/>
    </row>
    <row r="507" ht="11.25" customHeight="1">
      <c r="A507" s="13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16"/>
    </row>
    <row r="508" ht="11.25" customHeight="1">
      <c r="A508" s="13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16"/>
    </row>
    <row r="509" ht="11.25" customHeight="1">
      <c r="A509" s="13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16"/>
    </row>
    <row r="510" ht="11.25" customHeight="1">
      <c r="A510" s="13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16"/>
    </row>
    <row r="511" ht="11.25" customHeight="1">
      <c r="A511" s="13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16"/>
    </row>
    <row r="512" ht="11.25" customHeight="1">
      <c r="A512" s="13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16"/>
    </row>
    <row r="513" ht="11.25" customHeight="1">
      <c r="A513" s="13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16"/>
    </row>
    <row r="514" ht="11.25" customHeight="1">
      <c r="A514" s="13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16"/>
    </row>
    <row r="515" ht="11.25" customHeight="1">
      <c r="A515" s="13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16"/>
    </row>
    <row r="516" ht="11.25" customHeight="1">
      <c r="A516" s="13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16"/>
    </row>
    <row r="517" ht="11.25" customHeight="1">
      <c r="A517" s="13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16"/>
    </row>
    <row r="518" ht="11.25" customHeight="1">
      <c r="A518" s="13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16"/>
    </row>
    <row r="519" ht="11.25" customHeight="1">
      <c r="A519" s="13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16"/>
    </row>
    <row r="520" ht="11.25" customHeight="1">
      <c r="A520" s="13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16"/>
    </row>
    <row r="521" ht="11.25" customHeight="1">
      <c r="A521" s="13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16"/>
    </row>
    <row r="522" ht="11.25" customHeight="1">
      <c r="A522" s="13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16"/>
    </row>
    <row r="523" ht="11.25" customHeight="1">
      <c r="A523" s="13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16"/>
    </row>
    <row r="524" ht="11.25" customHeight="1">
      <c r="A524" s="13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16"/>
    </row>
    <row r="525" ht="11.25" customHeight="1">
      <c r="A525" s="13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16"/>
    </row>
    <row r="526" ht="11.25" customHeight="1">
      <c r="A526" s="13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16"/>
    </row>
    <row r="527" ht="11.25" customHeight="1">
      <c r="A527" s="13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16"/>
    </row>
    <row r="528" ht="11.25" customHeight="1">
      <c r="A528" s="13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16"/>
    </row>
    <row r="529" ht="11.25" customHeight="1">
      <c r="A529" s="13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16"/>
    </row>
    <row r="530" ht="11.25" customHeight="1">
      <c r="A530" s="13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16"/>
    </row>
    <row r="531" ht="11.25" customHeight="1">
      <c r="A531" s="13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16"/>
    </row>
    <row r="532" ht="11.25" customHeight="1">
      <c r="A532" s="13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16"/>
    </row>
    <row r="533" ht="11.25" customHeight="1">
      <c r="A533" s="13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16"/>
    </row>
    <row r="534" ht="11.25" customHeight="1">
      <c r="A534" s="13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16"/>
    </row>
    <row r="535" ht="11.25" customHeight="1">
      <c r="A535" s="13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16"/>
    </row>
    <row r="536" ht="11.25" customHeight="1">
      <c r="A536" s="13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16"/>
    </row>
    <row r="537" ht="11.25" customHeight="1">
      <c r="A537" s="13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16"/>
    </row>
    <row r="538" ht="11.25" customHeight="1">
      <c r="A538" s="13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16"/>
    </row>
    <row r="539" ht="11.25" customHeight="1">
      <c r="A539" s="13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16"/>
    </row>
    <row r="540" ht="11.25" customHeight="1">
      <c r="A540" s="13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16"/>
    </row>
    <row r="541" ht="11.25" customHeight="1">
      <c r="A541" s="13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16"/>
    </row>
    <row r="542" ht="11.25" customHeight="1">
      <c r="A542" s="13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16"/>
    </row>
    <row r="543" ht="11.25" customHeight="1">
      <c r="A543" s="13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16"/>
    </row>
    <row r="544" ht="11.25" customHeight="1">
      <c r="A544" s="13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16"/>
    </row>
    <row r="545" ht="11.25" customHeight="1">
      <c r="A545" s="13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16"/>
    </row>
    <row r="546" ht="11.25" customHeight="1">
      <c r="A546" s="13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16"/>
    </row>
    <row r="547" ht="11.25" customHeight="1">
      <c r="A547" s="13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16"/>
    </row>
    <row r="548" ht="11.25" customHeight="1">
      <c r="A548" s="13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16"/>
    </row>
    <row r="549" ht="11.25" customHeight="1">
      <c r="A549" s="13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16"/>
    </row>
    <row r="550" ht="11.25" customHeight="1">
      <c r="A550" s="13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16"/>
    </row>
    <row r="551" ht="11.25" customHeight="1">
      <c r="A551" s="13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16"/>
    </row>
    <row r="552" ht="11.25" customHeight="1">
      <c r="A552" s="13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16"/>
    </row>
    <row r="553" ht="11.25" customHeight="1">
      <c r="A553" s="13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16"/>
    </row>
    <row r="554" ht="11.25" customHeight="1">
      <c r="A554" s="13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16"/>
    </row>
    <row r="555" ht="11.25" customHeight="1">
      <c r="A555" s="13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16"/>
    </row>
    <row r="556" ht="11.25" customHeight="1">
      <c r="A556" s="13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16"/>
    </row>
    <row r="557" ht="11.25" customHeight="1">
      <c r="A557" s="13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16"/>
    </row>
    <row r="558" ht="11.25" customHeight="1">
      <c r="A558" s="13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16"/>
    </row>
    <row r="559" ht="11.25" customHeight="1">
      <c r="A559" s="13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16"/>
    </row>
    <row r="560" ht="11.25" customHeight="1">
      <c r="A560" s="13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16"/>
    </row>
    <row r="561" ht="11.25" customHeight="1">
      <c r="A561" s="13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16"/>
    </row>
    <row r="562" ht="11.25" customHeight="1">
      <c r="A562" s="13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16"/>
    </row>
    <row r="563" ht="11.25" customHeight="1">
      <c r="A563" s="13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16"/>
    </row>
    <row r="564" ht="11.25" customHeight="1">
      <c r="A564" s="13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16"/>
    </row>
    <row r="565" ht="11.25" customHeight="1">
      <c r="A565" s="13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16"/>
    </row>
    <row r="566" ht="11.25" customHeight="1">
      <c r="A566" s="13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16"/>
    </row>
    <row r="567" ht="11.25" customHeight="1">
      <c r="A567" s="13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16"/>
    </row>
    <row r="568" ht="11.25" customHeight="1">
      <c r="A568" s="13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16"/>
    </row>
    <row r="569" ht="11.25" customHeight="1">
      <c r="A569" s="13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16"/>
    </row>
    <row r="570" ht="11.25" customHeight="1">
      <c r="A570" s="13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16"/>
    </row>
    <row r="571" ht="11.25" customHeight="1">
      <c r="A571" s="13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16"/>
    </row>
    <row r="572" ht="11.25" customHeight="1">
      <c r="A572" s="13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16"/>
    </row>
    <row r="573" ht="11.25" customHeight="1">
      <c r="A573" s="13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16"/>
    </row>
    <row r="574" ht="11.25" customHeight="1">
      <c r="A574" s="13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16"/>
    </row>
    <row r="575" ht="11.25" customHeight="1">
      <c r="A575" s="13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16"/>
    </row>
    <row r="576" ht="11.25" customHeight="1">
      <c r="A576" s="13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16"/>
    </row>
    <row r="577" ht="11.25" customHeight="1">
      <c r="A577" s="13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16"/>
    </row>
    <row r="578" ht="11.25" customHeight="1">
      <c r="A578" s="13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16"/>
    </row>
    <row r="579" ht="11.25" customHeight="1">
      <c r="A579" s="13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16"/>
    </row>
    <row r="580" ht="11.25" customHeight="1">
      <c r="A580" s="13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16"/>
    </row>
    <row r="581" ht="11.25" customHeight="1">
      <c r="A581" s="13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16"/>
    </row>
    <row r="582" ht="11.25" customHeight="1">
      <c r="A582" s="13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16"/>
    </row>
    <row r="583" ht="11.25" customHeight="1">
      <c r="A583" s="13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16"/>
    </row>
    <row r="584" ht="11.25" customHeight="1">
      <c r="A584" s="13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16"/>
    </row>
    <row r="585" ht="11.25" customHeight="1">
      <c r="A585" s="13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16"/>
    </row>
    <row r="586" ht="11.25" customHeight="1">
      <c r="A586" s="13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16"/>
    </row>
    <row r="587" ht="11.25" customHeight="1">
      <c r="A587" s="13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16"/>
    </row>
    <row r="588" ht="11.25" customHeight="1">
      <c r="A588" s="13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16"/>
    </row>
    <row r="589" ht="11.25" customHeight="1">
      <c r="A589" s="13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16"/>
    </row>
    <row r="590" ht="11.25" customHeight="1">
      <c r="A590" s="13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16"/>
    </row>
    <row r="591" ht="11.25" customHeight="1">
      <c r="A591" s="13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16"/>
    </row>
    <row r="592" ht="11.25" customHeight="1">
      <c r="A592" s="13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16"/>
    </row>
    <row r="593" ht="11.25" customHeight="1">
      <c r="A593" s="13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16"/>
    </row>
    <row r="594" ht="11.25" customHeight="1">
      <c r="A594" s="13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16"/>
    </row>
    <row r="595" ht="11.25" customHeight="1">
      <c r="A595" s="13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16"/>
    </row>
    <row r="596" ht="11.25" customHeight="1">
      <c r="A596" s="13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16"/>
    </row>
    <row r="597" ht="11.25" customHeight="1">
      <c r="A597" s="13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16"/>
    </row>
    <row r="598" ht="11.25" customHeight="1">
      <c r="A598" s="13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16"/>
    </row>
    <row r="599" ht="11.25" customHeight="1">
      <c r="A599" s="13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16"/>
    </row>
    <row r="600" ht="11.25" customHeight="1">
      <c r="A600" s="13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16"/>
    </row>
    <row r="601" ht="11.25" customHeight="1">
      <c r="A601" s="13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16"/>
    </row>
    <row r="602" ht="11.25" customHeight="1">
      <c r="A602" s="13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16"/>
    </row>
    <row r="603" ht="11.25" customHeight="1">
      <c r="A603" s="13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16"/>
    </row>
    <row r="604" ht="11.25" customHeight="1">
      <c r="A604" s="13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16"/>
    </row>
    <row r="605" ht="11.25" customHeight="1">
      <c r="A605" s="13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16"/>
    </row>
    <row r="606" ht="11.25" customHeight="1">
      <c r="A606" s="13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16"/>
    </row>
    <row r="607" ht="11.25" customHeight="1">
      <c r="A607" s="13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16"/>
    </row>
    <row r="608" ht="11.25" customHeight="1">
      <c r="A608" s="13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16"/>
    </row>
    <row r="609" ht="11.25" customHeight="1">
      <c r="A609" s="13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16"/>
    </row>
    <row r="610" ht="11.25" customHeight="1">
      <c r="A610" s="13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16"/>
    </row>
    <row r="611" ht="11.25" customHeight="1">
      <c r="A611" s="13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16"/>
    </row>
    <row r="612" ht="11.25" customHeight="1">
      <c r="A612" s="13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16"/>
    </row>
    <row r="613" ht="11.25" customHeight="1">
      <c r="A613" s="13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16"/>
    </row>
    <row r="614" ht="11.25" customHeight="1">
      <c r="A614" s="13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16"/>
    </row>
    <row r="615" ht="11.25" customHeight="1">
      <c r="A615" s="13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16"/>
    </row>
    <row r="616" ht="11.25" customHeight="1">
      <c r="A616" s="13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16"/>
    </row>
    <row r="617" ht="11.25" customHeight="1">
      <c r="A617" s="13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16"/>
    </row>
    <row r="618" ht="11.25" customHeight="1">
      <c r="A618" s="13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16"/>
    </row>
    <row r="619" ht="11.25" customHeight="1">
      <c r="A619" s="13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16"/>
    </row>
    <row r="620" ht="11.25" customHeight="1">
      <c r="A620" s="13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16"/>
    </row>
    <row r="621" ht="11.25" customHeight="1">
      <c r="A621" s="13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16"/>
    </row>
    <row r="622" ht="11.25" customHeight="1">
      <c r="A622" s="13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16"/>
    </row>
    <row r="623" ht="11.25" customHeight="1">
      <c r="A623" s="13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16"/>
    </row>
    <row r="624" ht="11.25" customHeight="1">
      <c r="A624" s="13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16"/>
    </row>
    <row r="625" ht="11.25" customHeight="1">
      <c r="A625" s="13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16"/>
    </row>
    <row r="626" ht="11.25" customHeight="1">
      <c r="A626" s="13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16"/>
    </row>
    <row r="627" ht="11.25" customHeight="1">
      <c r="A627" s="13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16"/>
    </row>
    <row r="628" ht="11.25" customHeight="1">
      <c r="A628" s="13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16"/>
    </row>
    <row r="629" ht="11.25" customHeight="1">
      <c r="A629" s="13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16"/>
    </row>
    <row r="630" ht="11.25" customHeight="1">
      <c r="A630" s="13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16"/>
    </row>
    <row r="631" ht="11.25" customHeight="1">
      <c r="A631" s="13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16"/>
    </row>
    <row r="632" ht="11.25" customHeight="1">
      <c r="A632" s="13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16"/>
    </row>
    <row r="633" ht="11.25" customHeight="1">
      <c r="A633" s="13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16"/>
    </row>
    <row r="634" ht="11.25" customHeight="1">
      <c r="A634" s="13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16"/>
    </row>
    <row r="635" ht="11.25" customHeight="1">
      <c r="A635" s="13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16"/>
    </row>
    <row r="636" ht="11.25" customHeight="1">
      <c r="A636" s="13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16"/>
    </row>
    <row r="637" ht="11.25" customHeight="1">
      <c r="A637" s="13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16"/>
    </row>
    <row r="638" ht="11.25" customHeight="1">
      <c r="A638" s="13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16"/>
    </row>
    <row r="639" ht="11.25" customHeight="1">
      <c r="A639" s="13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16"/>
    </row>
    <row r="640" ht="11.25" customHeight="1">
      <c r="A640" s="13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16"/>
    </row>
    <row r="641" ht="11.25" customHeight="1">
      <c r="A641" s="13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16"/>
    </row>
    <row r="642" ht="11.25" customHeight="1">
      <c r="A642" s="13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16"/>
    </row>
    <row r="643" ht="11.25" customHeight="1">
      <c r="A643" s="13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16"/>
    </row>
    <row r="644" ht="11.25" customHeight="1">
      <c r="A644" s="13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16"/>
    </row>
    <row r="645" ht="11.25" customHeight="1">
      <c r="A645" s="13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16"/>
    </row>
    <row r="646" ht="11.25" customHeight="1">
      <c r="A646" s="13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16"/>
    </row>
    <row r="647" ht="11.25" customHeight="1">
      <c r="A647" s="13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16"/>
    </row>
    <row r="648" ht="11.25" customHeight="1">
      <c r="A648" s="13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16"/>
    </row>
    <row r="649" ht="11.25" customHeight="1">
      <c r="A649" s="13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16"/>
    </row>
    <row r="650" ht="11.25" customHeight="1">
      <c r="A650" s="13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16"/>
    </row>
    <row r="651" ht="11.25" customHeight="1">
      <c r="A651" s="13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16"/>
    </row>
    <row r="652" ht="11.25" customHeight="1">
      <c r="A652" s="13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16"/>
    </row>
    <row r="653" ht="11.25" customHeight="1">
      <c r="A653" s="13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16"/>
    </row>
    <row r="654" ht="11.25" customHeight="1">
      <c r="A654" s="13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16"/>
    </row>
    <row r="655" ht="11.25" customHeight="1">
      <c r="A655" s="13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16"/>
    </row>
    <row r="656" ht="11.25" customHeight="1">
      <c r="A656" s="13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16"/>
    </row>
    <row r="657" ht="11.25" customHeight="1">
      <c r="A657" s="13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16"/>
    </row>
    <row r="658" ht="11.25" customHeight="1">
      <c r="A658" s="13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16"/>
    </row>
    <row r="659" ht="11.25" customHeight="1">
      <c r="A659" s="13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16"/>
    </row>
    <row r="660" ht="11.25" customHeight="1">
      <c r="A660" s="13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16"/>
    </row>
    <row r="661" ht="11.25" customHeight="1">
      <c r="A661" s="13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16"/>
    </row>
    <row r="662" ht="11.25" customHeight="1">
      <c r="A662" s="13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16"/>
    </row>
    <row r="663" ht="11.25" customHeight="1">
      <c r="A663" s="13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16"/>
    </row>
    <row r="664" ht="11.25" customHeight="1">
      <c r="A664" s="13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16"/>
    </row>
    <row r="665" ht="11.25" customHeight="1">
      <c r="A665" s="13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16"/>
    </row>
    <row r="666" ht="11.25" customHeight="1">
      <c r="A666" s="13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16"/>
    </row>
    <row r="667" ht="11.25" customHeight="1">
      <c r="A667" s="13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16"/>
    </row>
    <row r="668" ht="11.25" customHeight="1">
      <c r="A668" s="13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16"/>
    </row>
    <row r="669" ht="11.25" customHeight="1">
      <c r="A669" s="13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16"/>
    </row>
    <row r="670" ht="11.25" customHeight="1">
      <c r="A670" s="13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16"/>
    </row>
    <row r="671" ht="11.25" customHeight="1">
      <c r="A671" s="13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16"/>
    </row>
    <row r="672" ht="11.25" customHeight="1">
      <c r="A672" s="13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16"/>
    </row>
    <row r="673" ht="11.25" customHeight="1">
      <c r="A673" s="13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16"/>
    </row>
    <row r="674" ht="11.25" customHeight="1">
      <c r="A674" s="13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16"/>
    </row>
    <row r="675" ht="11.25" customHeight="1">
      <c r="A675" s="13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16"/>
    </row>
    <row r="676" ht="11.25" customHeight="1">
      <c r="A676" s="13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16"/>
    </row>
    <row r="677" ht="11.25" customHeight="1">
      <c r="A677" s="13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16"/>
    </row>
    <row r="678" ht="11.25" customHeight="1">
      <c r="A678" s="13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16"/>
    </row>
    <row r="679" ht="11.25" customHeight="1">
      <c r="A679" s="13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16"/>
    </row>
    <row r="680" ht="11.25" customHeight="1">
      <c r="A680" s="13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16"/>
    </row>
    <row r="681" ht="11.25" customHeight="1">
      <c r="A681" s="13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16"/>
    </row>
    <row r="682" ht="11.25" customHeight="1">
      <c r="A682" s="13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16"/>
    </row>
    <row r="683" ht="11.25" customHeight="1">
      <c r="A683" s="13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16"/>
    </row>
    <row r="684" ht="11.25" customHeight="1">
      <c r="A684" s="13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16"/>
    </row>
    <row r="685" ht="11.25" customHeight="1">
      <c r="A685" s="13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16"/>
    </row>
    <row r="686" ht="11.25" customHeight="1">
      <c r="A686" s="13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16"/>
    </row>
    <row r="687" ht="11.25" customHeight="1">
      <c r="A687" s="13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16"/>
    </row>
    <row r="688" ht="11.25" customHeight="1">
      <c r="A688" s="13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16"/>
    </row>
    <row r="689" ht="11.25" customHeight="1">
      <c r="A689" s="13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16"/>
    </row>
    <row r="690" ht="11.25" customHeight="1">
      <c r="A690" s="13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16"/>
    </row>
    <row r="691" ht="11.25" customHeight="1">
      <c r="A691" s="13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16"/>
    </row>
    <row r="692" ht="11.25" customHeight="1">
      <c r="A692" s="13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16"/>
    </row>
    <row r="693" ht="11.25" customHeight="1">
      <c r="A693" s="13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16"/>
    </row>
    <row r="694" ht="11.25" customHeight="1">
      <c r="A694" s="13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16"/>
    </row>
    <row r="695" ht="11.25" customHeight="1">
      <c r="A695" s="13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16"/>
    </row>
    <row r="696" ht="11.25" customHeight="1">
      <c r="A696" s="13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16"/>
    </row>
    <row r="697" ht="11.25" customHeight="1">
      <c r="A697" s="13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16"/>
    </row>
    <row r="698" ht="11.25" customHeight="1">
      <c r="A698" s="13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16"/>
    </row>
    <row r="699" ht="11.25" customHeight="1">
      <c r="A699" s="13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16"/>
    </row>
    <row r="700" ht="11.25" customHeight="1">
      <c r="A700" s="13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16"/>
    </row>
    <row r="701" ht="11.25" customHeight="1">
      <c r="A701" s="13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16"/>
    </row>
    <row r="702" ht="11.25" customHeight="1">
      <c r="A702" s="13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16"/>
    </row>
    <row r="703" ht="11.25" customHeight="1">
      <c r="A703" s="13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16"/>
    </row>
    <row r="704" ht="11.25" customHeight="1">
      <c r="A704" s="13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16"/>
    </row>
    <row r="705" ht="11.25" customHeight="1">
      <c r="A705" s="13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16"/>
    </row>
    <row r="706" ht="11.25" customHeight="1">
      <c r="A706" s="13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16"/>
    </row>
    <row r="707" ht="11.25" customHeight="1">
      <c r="A707" s="13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16"/>
    </row>
    <row r="708" ht="11.25" customHeight="1">
      <c r="A708" s="13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16"/>
    </row>
    <row r="709" ht="11.25" customHeight="1">
      <c r="A709" s="13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16"/>
    </row>
    <row r="710" ht="11.25" customHeight="1">
      <c r="A710" s="13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16"/>
    </row>
    <row r="711" ht="11.25" customHeight="1">
      <c r="A711" s="13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16"/>
    </row>
    <row r="712" ht="11.25" customHeight="1">
      <c r="A712" s="13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16"/>
    </row>
    <row r="713" ht="11.25" customHeight="1">
      <c r="A713" s="13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16"/>
    </row>
    <row r="714" ht="11.25" customHeight="1">
      <c r="A714" s="13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16"/>
    </row>
    <row r="715" ht="11.25" customHeight="1">
      <c r="A715" s="13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16"/>
    </row>
    <row r="716" ht="11.25" customHeight="1">
      <c r="A716" s="13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16"/>
    </row>
    <row r="717" ht="11.25" customHeight="1">
      <c r="A717" s="13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16"/>
    </row>
    <row r="718" ht="11.25" customHeight="1">
      <c r="A718" s="13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16"/>
    </row>
    <row r="719" ht="11.25" customHeight="1">
      <c r="A719" s="13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16"/>
    </row>
    <row r="720" ht="11.25" customHeight="1">
      <c r="A720" s="13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16"/>
    </row>
    <row r="721" ht="11.25" customHeight="1">
      <c r="A721" s="13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16"/>
    </row>
    <row r="722" ht="11.25" customHeight="1">
      <c r="A722" s="13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16"/>
    </row>
    <row r="723" ht="11.25" customHeight="1">
      <c r="A723" s="13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16"/>
    </row>
    <row r="724" ht="11.25" customHeight="1">
      <c r="A724" s="13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16"/>
    </row>
    <row r="725" ht="11.25" customHeight="1">
      <c r="A725" s="13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16"/>
    </row>
    <row r="726" ht="11.25" customHeight="1">
      <c r="A726" s="13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16"/>
    </row>
    <row r="727" ht="11.25" customHeight="1">
      <c r="A727" s="13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16"/>
    </row>
    <row r="728" ht="11.25" customHeight="1">
      <c r="A728" s="13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16"/>
    </row>
    <row r="729" ht="11.25" customHeight="1">
      <c r="A729" s="13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16"/>
    </row>
    <row r="730" ht="11.25" customHeight="1">
      <c r="A730" s="13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16"/>
    </row>
    <row r="731" ht="11.25" customHeight="1">
      <c r="A731" s="13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16"/>
    </row>
    <row r="732" ht="11.25" customHeight="1">
      <c r="A732" s="13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16"/>
    </row>
    <row r="733" ht="11.25" customHeight="1">
      <c r="A733" s="13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16"/>
    </row>
    <row r="734" ht="11.25" customHeight="1">
      <c r="A734" s="13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16"/>
    </row>
    <row r="735" ht="11.25" customHeight="1">
      <c r="A735" s="13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16"/>
    </row>
    <row r="736" ht="11.25" customHeight="1">
      <c r="A736" s="13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16"/>
    </row>
    <row r="737" ht="11.25" customHeight="1">
      <c r="A737" s="13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16"/>
    </row>
    <row r="738" ht="11.25" customHeight="1">
      <c r="A738" s="13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16"/>
    </row>
    <row r="739" ht="11.25" customHeight="1">
      <c r="A739" s="13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16"/>
    </row>
    <row r="740" ht="11.25" customHeight="1">
      <c r="A740" s="13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16"/>
    </row>
    <row r="741" ht="11.25" customHeight="1">
      <c r="A741" s="13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16"/>
    </row>
    <row r="742" ht="11.25" customHeight="1">
      <c r="A742" s="13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16"/>
    </row>
    <row r="743" ht="11.25" customHeight="1">
      <c r="A743" s="13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16"/>
    </row>
    <row r="744" ht="11.25" customHeight="1">
      <c r="A744" s="13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16"/>
    </row>
    <row r="745" ht="11.25" customHeight="1">
      <c r="A745" s="13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16"/>
    </row>
    <row r="746" ht="11.25" customHeight="1">
      <c r="A746" s="13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16"/>
    </row>
    <row r="747" ht="11.25" customHeight="1">
      <c r="A747" s="13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16"/>
    </row>
    <row r="748" ht="11.25" customHeight="1">
      <c r="A748" s="13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16"/>
    </row>
    <row r="749" ht="11.25" customHeight="1">
      <c r="A749" s="13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16"/>
    </row>
    <row r="750" ht="11.25" customHeight="1">
      <c r="A750" s="13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16"/>
    </row>
    <row r="751" ht="11.25" customHeight="1">
      <c r="A751" s="13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16"/>
    </row>
    <row r="752" ht="11.25" customHeight="1">
      <c r="A752" s="13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16"/>
    </row>
    <row r="753" ht="11.25" customHeight="1">
      <c r="A753" s="13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16"/>
    </row>
    <row r="754" ht="11.25" customHeight="1">
      <c r="A754" s="13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16"/>
    </row>
    <row r="755" ht="11.25" customHeight="1">
      <c r="A755" s="13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16"/>
    </row>
    <row r="756" ht="11.25" customHeight="1">
      <c r="A756" s="13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16"/>
    </row>
    <row r="757" ht="11.25" customHeight="1">
      <c r="A757" s="13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16"/>
    </row>
    <row r="758" ht="11.25" customHeight="1">
      <c r="A758" s="13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16"/>
    </row>
    <row r="759" ht="11.25" customHeight="1">
      <c r="A759" s="13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16"/>
    </row>
    <row r="760" ht="11.25" customHeight="1">
      <c r="A760" s="13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16"/>
    </row>
    <row r="761" ht="11.25" customHeight="1">
      <c r="A761" s="13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16"/>
    </row>
    <row r="762" ht="11.25" customHeight="1">
      <c r="A762" s="13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16"/>
    </row>
    <row r="763" ht="11.25" customHeight="1">
      <c r="A763" s="13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16"/>
    </row>
    <row r="764" ht="11.25" customHeight="1">
      <c r="A764" s="13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16"/>
    </row>
    <row r="765" ht="11.25" customHeight="1">
      <c r="A765" s="13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16"/>
    </row>
    <row r="766" ht="11.25" customHeight="1">
      <c r="A766" s="13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16"/>
    </row>
    <row r="767" ht="11.25" customHeight="1">
      <c r="A767" s="13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16"/>
    </row>
    <row r="768" ht="11.25" customHeight="1">
      <c r="A768" s="13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16"/>
    </row>
    <row r="769" ht="11.25" customHeight="1">
      <c r="A769" s="13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16"/>
    </row>
    <row r="770" ht="11.25" customHeight="1">
      <c r="A770" s="13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16"/>
    </row>
    <row r="771" ht="11.25" customHeight="1">
      <c r="A771" s="13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16"/>
    </row>
    <row r="772" ht="11.25" customHeight="1">
      <c r="A772" s="13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16"/>
    </row>
    <row r="773" ht="11.25" customHeight="1">
      <c r="A773" s="13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16"/>
    </row>
    <row r="774" ht="11.25" customHeight="1">
      <c r="A774" s="13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16"/>
    </row>
    <row r="775" ht="11.25" customHeight="1">
      <c r="A775" s="13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16"/>
    </row>
    <row r="776" ht="11.25" customHeight="1">
      <c r="A776" s="13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16"/>
    </row>
    <row r="777" ht="11.25" customHeight="1">
      <c r="A777" s="13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16"/>
    </row>
    <row r="778" ht="11.25" customHeight="1">
      <c r="A778" s="13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16"/>
    </row>
    <row r="779" ht="11.25" customHeight="1">
      <c r="A779" s="13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16"/>
    </row>
    <row r="780" ht="11.25" customHeight="1">
      <c r="A780" s="13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16"/>
    </row>
    <row r="781" ht="11.25" customHeight="1">
      <c r="A781" s="13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16"/>
    </row>
    <row r="782" ht="11.25" customHeight="1">
      <c r="A782" s="13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16"/>
    </row>
    <row r="783" ht="11.25" customHeight="1">
      <c r="A783" s="13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16"/>
    </row>
    <row r="784" ht="11.25" customHeight="1">
      <c r="A784" s="13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16"/>
    </row>
    <row r="785" ht="11.25" customHeight="1">
      <c r="A785" s="13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16"/>
    </row>
    <row r="786" ht="11.25" customHeight="1">
      <c r="A786" s="13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16"/>
    </row>
    <row r="787" ht="11.25" customHeight="1">
      <c r="A787" s="13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16"/>
    </row>
    <row r="788" ht="11.25" customHeight="1">
      <c r="A788" s="13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16"/>
    </row>
    <row r="789" ht="11.25" customHeight="1">
      <c r="A789" s="13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16"/>
    </row>
    <row r="790" ht="11.25" customHeight="1">
      <c r="A790" s="13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16"/>
    </row>
    <row r="791" ht="11.25" customHeight="1">
      <c r="A791" s="13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16"/>
    </row>
    <row r="792" ht="11.25" customHeight="1">
      <c r="A792" s="13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16"/>
    </row>
    <row r="793" ht="11.25" customHeight="1">
      <c r="A793" s="13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16"/>
    </row>
    <row r="794" ht="11.25" customHeight="1">
      <c r="A794" s="13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16"/>
    </row>
    <row r="795" ht="11.25" customHeight="1">
      <c r="A795" s="13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16"/>
    </row>
    <row r="796" ht="11.25" customHeight="1">
      <c r="A796" s="13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16"/>
    </row>
    <row r="797" ht="11.25" customHeight="1">
      <c r="A797" s="13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16"/>
    </row>
    <row r="798" ht="11.25" customHeight="1">
      <c r="A798" s="13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16"/>
    </row>
    <row r="799" ht="11.25" customHeight="1">
      <c r="A799" s="13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16"/>
    </row>
    <row r="800" ht="11.25" customHeight="1">
      <c r="A800" s="13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16"/>
    </row>
    <row r="801" ht="11.25" customHeight="1">
      <c r="A801" s="13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16"/>
    </row>
    <row r="802" ht="11.25" customHeight="1">
      <c r="A802" s="13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16"/>
    </row>
    <row r="803" ht="11.25" customHeight="1">
      <c r="A803" s="13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16"/>
    </row>
    <row r="804" ht="11.25" customHeight="1">
      <c r="A804" s="13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16"/>
    </row>
    <row r="805" ht="11.25" customHeight="1">
      <c r="A805" s="13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16"/>
    </row>
    <row r="806" ht="11.25" customHeight="1">
      <c r="A806" s="13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16"/>
    </row>
    <row r="807" ht="11.25" customHeight="1">
      <c r="A807" s="13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16"/>
    </row>
    <row r="808" ht="11.25" customHeight="1">
      <c r="A808" s="13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16"/>
    </row>
    <row r="809" ht="11.25" customHeight="1">
      <c r="A809" s="13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16"/>
    </row>
    <row r="810" ht="11.25" customHeight="1">
      <c r="A810" s="13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16"/>
    </row>
    <row r="811" ht="11.25" customHeight="1">
      <c r="A811" s="13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16"/>
    </row>
    <row r="812" ht="11.25" customHeight="1">
      <c r="A812" s="13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16"/>
    </row>
    <row r="813" ht="11.25" customHeight="1">
      <c r="A813" s="13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16"/>
    </row>
    <row r="814" ht="11.25" customHeight="1">
      <c r="A814" s="13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16"/>
    </row>
    <row r="815" ht="11.25" customHeight="1">
      <c r="A815" s="13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16"/>
    </row>
    <row r="816" ht="11.25" customHeight="1">
      <c r="A816" s="13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16"/>
    </row>
    <row r="817" ht="11.25" customHeight="1">
      <c r="A817" s="13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16"/>
    </row>
    <row r="818" ht="11.25" customHeight="1">
      <c r="A818" s="13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16"/>
    </row>
    <row r="819" ht="11.25" customHeight="1">
      <c r="A819" s="13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16"/>
    </row>
    <row r="820" ht="11.25" customHeight="1">
      <c r="A820" s="13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16"/>
    </row>
    <row r="821" ht="11.25" customHeight="1">
      <c r="A821" s="13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16"/>
    </row>
    <row r="822" ht="11.25" customHeight="1">
      <c r="A822" s="13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16"/>
    </row>
    <row r="823" ht="11.25" customHeight="1">
      <c r="A823" s="13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16"/>
    </row>
    <row r="824" ht="11.25" customHeight="1">
      <c r="A824" s="13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16"/>
    </row>
    <row r="825" ht="11.25" customHeight="1">
      <c r="A825" s="13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16"/>
    </row>
    <row r="826" ht="11.25" customHeight="1">
      <c r="A826" s="13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16"/>
    </row>
    <row r="827" ht="11.25" customHeight="1">
      <c r="A827" s="13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16"/>
    </row>
    <row r="828" ht="11.25" customHeight="1">
      <c r="A828" s="13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16"/>
    </row>
    <row r="829" ht="11.25" customHeight="1">
      <c r="A829" s="13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16"/>
    </row>
    <row r="830" ht="11.25" customHeight="1">
      <c r="A830" s="13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16"/>
    </row>
    <row r="831" ht="11.25" customHeight="1">
      <c r="A831" s="13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16"/>
    </row>
    <row r="832" ht="11.25" customHeight="1">
      <c r="A832" s="13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16"/>
    </row>
    <row r="833" ht="11.25" customHeight="1">
      <c r="A833" s="13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16"/>
    </row>
    <row r="834" ht="11.25" customHeight="1">
      <c r="A834" s="13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16"/>
    </row>
    <row r="835" ht="11.25" customHeight="1">
      <c r="A835" s="13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16"/>
    </row>
    <row r="836" ht="11.25" customHeight="1">
      <c r="A836" s="13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16"/>
    </row>
    <row r="837" ht="11.25" customHeight="1">
      <c r="A837" s="13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16"/>
    </row>
    <row r="838" ht="11.25" customHeight="1">
      <c r="A838" s="13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16"/>
    </row>
    <row r="839" ht="11.25" customHeight="1">
      <c r="A839" s="13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16"/>
    </row>
    <row r="840" ht="11.25" customHeight="1">
      <c r="A840" s="13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16"/>
    </row>
    <row r="841" ht="11.25" customHeight="1">
      <c r="A841" s="13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16"/>
    </row>
    <row r="842" ht="11.25" customHeight="1">
      <c r="A842" s="13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16"/>
    </row>
    <row r="843" ht="11.25" customHeight="1">
      <c r="A843" s="13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16"/>
    </row>
    <row r="844" ht="11.25" customHeight="1">
      <c r="A844" s="13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16"/>
    </row>
    <row r="845" ht="11.25" customHeight="1">
      <c r="A845" s="13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16"/>
    </row>
    <row r="846" ht="11.25" customHeight="1">
      <c r="A846" s="13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16"/>
    </row>
    <row r="847" ht="11.25" customHeight="1">
      <c r="A847" s="13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16"/>
    </row>
    <row r="848" ht="11.25" customHeight="1">
      <c r="A848" s="13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16"/>
    </row>
    <row r="849" ht="11.25" customHeight="1">
      <c r="A849" s="13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16"/>
    </row>
    <row r="850" ht="11.25" customHeight="1">
      <c r="A850" s="13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16"/>
    </row>
    <row r="851" ht="11.25" customHeight="1">
      <c r="A851" s="13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16"/>
    </row>
    <row r="852" ht="11.25" customHeight="1">
      <c r="A852" s="13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16"/>
    </row>
    <row r="853" ht="11.25" customHeight="1">
      <c r="A853" s="13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16"/>
    </row>
    <row r="854" ht="11.25" customHeight="1">
      <c r="A854" s="13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16"/>
    </row>
    <row r="855" ht="11.25" customHeight="1">
      <c r="A855" s="13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16"/>
    </row>
    <row r="856" ht="11.25" customHeight="1">
      <c r="A856" s="13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16"/>
    </row>
    <row r="857" ht="11.25" customHeight="1">
      <c r="A857" s="13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16"/>
    </row>
    <row r="858" ht="11.25" customHeight="1">
      <c r="A858" s="13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16"/>
    </row>
    <row r="859" ht="11.25" customHeight="1">
      <c r="A859" s="13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16"/>
    </row>
    <row r="860" ht="11.25" customHeight="1">
      <c r="A860" s="13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16"/>
    </row>
    <row r="861" ht="11.25" customHeight="1">
      <c r="A861" s="13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16"/>
    </row>
    <row r="862" ht="11.25" customHeight="1">
      <c r="A862" s="13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16"/>
    </row>
    <row r="863" ht="11.25" customHeight="1">
      <c r="A863" s="13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16"/>
    </row>
    <row r="864" ht="11.25" customHeight="1">
      <c r="A864" s="13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16"/>
    </row>
    <row r="865" ht="11.25" customHeight="1">
      <c r="A865" s="13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16"/>
    </row>
    <row r="866" ht="11.25" customHeight="1">
      <c r="A866" s="13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16"/>
    </row>
    <row r="867" ht="11.25" customHeight="1">
      <c r="A867" s="13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16"/>
    </row>
    <row r="868" ht="11.25" customHeight="1">
      <c r="A868" s="13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16"/>
    </row>
    <row r="869" ht="11.25" customHeight="1">
      <c r="A869" s="13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16"/>
    </row>
    <row r="870" ht="11.25" customHeight="1">
      <c r="A870" s="13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16"/>
    </row>
    <row r="871" ht="11.25" customHeight="1">
      <c r="A871" s="13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16"/>
    </row>
    <row r="872" ht="11.25" customHeight="1">
      <c r="A872" s="13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16"/>
    </row>
    <row r="873" ht="11.25" customHeight="1">
      <c r="A873" s="13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16"/>
    </row>
    <row r="874" ht="11.25" customHeight="1">
      <c r="A874" s="13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16"/>
    </row>
    <row r="875" ht="11.25" customHeight="1">
      <c r="A875" s="13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16"/>
    </row>
    <row r="876" ht="11.25" customHeight="1">
      <c r="A876" s="13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16"/>
    </row>
    <row r="877" ht="11.25" customHeight="1">
      <c r="A877" s="13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16"/>
    </row>
    <row r="878" ht="11.25" customHeight="1">
      <c r="A878" s="13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16"/>
    </row>
    <row r="879" ht="11.25" customHeight="1">
      <c r="A879" s="13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16"/>
    </row>
    <row r="880" ht="11.25" customHeight="1">
      <c r="A880" s="13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16"/>
    </row>
    <row r="881" ht="11.25" customHeight="1">
      <c r="A881" s="13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16"/>
    </row>
    <row r="882" ht="11.25" customHeight="1">
      <c r="A882" s="13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16"/>
    </row>
    <row r="883" ht="11.25" customHeight="1">
      <c r="A883" s="13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16"/>
    </row>
    <row r="884" ht="11.25" customHeight="1">
      <c r="A884" s="13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16"/>
    </row>
    <row r="885" ht="11.25" customHeight="1">
      <c r="A885" s="13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16"/>
    </row>
    <row r="886" ht="11.25" customHeight="1">
      <c r="A886" s="13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16"/>
    </row>
    <row r="887" ht="11.25" customHeight="1">
      <c r="A887" s="13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16"/>
    </row>
    <row r="888" ht="11.25" customHeight="1">
      <c r="A888" s="13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16"/>
    </row>
    <row r="889" ht="11.25" customHeight="1">
      <c r="A889" s="13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16"/>
    </row>
    <row r="890" ht="11.25" customHeight="1">
      <c r="A890" s="13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16"/>
    </row>
    <row r="891" ht="11.25" customHeight="1">
      <c r="A891" s="13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16"/>
    </row>
    <row r="892" ht="11.25" customHeight="1">
      <c r="A892" s="13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16"/>
    </row>
    <row r="893" ht="11.25" customHeight="1">
      <c r="A893" s="13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16"/>
    </row>
    <row r="894" ht="11.25" customHeight="1">
      <c r="A894" s="13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16"/>
    </row>
    <row r="895" ht="11.25" customHeight="1">
      <c r="A895" s="13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16"/>
    </row>
    <row r="896" ht="11.25" customHeight="1">
      <c r="A896" s="13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16"/>
    </row>
    <row r="897" ht="11.25" customHeight="1">
      <c r="A897" s="13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16"/>
    </row>
    <row r="898" ht="11.25" customHeight="1">
      <c r="A898" s="13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16"/>
    </row>
    <row r="899" ht="11.25" customHeight="1">
      <c r="A899" s="13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16"/>
    </row>
    <row r="900" ht="11.25" customHeight="1">
      <c r="A900" s="13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16"/>
    </row>
    <row r="901" ht="11.25" customHeight="1">
      <c r="A901" s="13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16"/>
    </row>
    <row r="902" ht="11.25" customHeight="1">
      <c r="A902" s="13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16"/>
    </row>
    <row r="903" ht="11.25" customHeight="1">
      <c r="A903" s="13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16"/>
    </row>
    <row r="904" ht="11.25" customHeight="1">
      <c r="A904" s="13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16"/>
    </row>
    <row r="905" ht="11.25" customHeight="1">
      <c r="A905" s="13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16"/>
    </row>
    <row r="906" ht="11.25" customHeight="1">
      <c r="A906" s="13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16"/>
    </row>
    <row r="907" ht="11.25" customHeight="1">
      <c r="A907" s="13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16"/>
    </row>
    <row r="908" ht="11.25" customHeight="1">
      <c r="A908" s="13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16"/>
    </row>
    <row r="909" ht="11.25" customHeight="1">
      <c r="A909" s="13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16"/>
    </row>
    <row r="910" ht="11.25" customHeight="1">
      <c r="A910" s="13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16"/>
    </row>
    <row r="911" ht="11.25" customHeight="1">
      <c r="A911" s="13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16"/>
    </row>
    <row r="912" ht="11.25" customHeight="1">
      <c r="A912" s="13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16"/>
    </row>
    <row r="913" ht="11.25" customHeight="1">
      <c r="A913" s="13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16"/>
    </row>
    <row r="914" ht="11.25" customHeight="1">
      <c r="A914" s="13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16"/>
    </row>
    <row r="915" ht="11.25" customHeight="1">
      <c r="A915" s="13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16"/>
    </row>
    <row r="916" ht="11.25" customHeight="1">
      <c r="A916" s="13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16"/>
    </row>
    <row r="917" ht="11.25" customHeight="1">
      <c r="A917" s="13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16"/>
    </row>
    <row r="918" ht="11.25" customHeight="1">
      <c r="A918" s="13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16"/>
    </row>
    <row r="919" ht="11.25" customHeight="1">
      <c r="A919" s="13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16"/>
    </row>
    <row r="920" ht="11.25" customHeight="1">
      <c r="A920" s="13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16"/>
    </row>
    <row r="921" ht="11.25" customHeight="1">
      <c r="A921" s="13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16"/>
    </row>
    <row r="922" ht="11.25" customHeight="1">
      <c r="A922" s="13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16"/>
    </row>
    <row r="923" ht="11.25" customHeight="1">
      <c r="A923" s="13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16"/>
    </row>
    <row r="924" ht="11.25" customHeight="1">
      <c r="A924" s="13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16"/>
    </row>
    <row r="925" ht="11.25" customHeight="1">
      <c r="A925" s="13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16"/>
    </row>
    <row r="926" ht="11.25" customHeight="1">
      <c r="A926" s="13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16"/>
    </row>
    <row r="927" ht="11.25" customHeight="1">
      <c r="A927" s="13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16"/>
    </row>
    <row r="928" ht="11.25" customHeight="1">
      <c r="A928" s="13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16"/>
    </row>
    <row r="929" ht="11.25" customHeight="1">
      <c r="A929" s="13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16"/>
    </row>
    <row r="930" ht="11.25" customHeight="1">
      <c r="A930" s="13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16"/>
    </row>
    <row r="931" ht="11.25" customHeight="1">
      <c r="A931" s="13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16"/>
    </row>
    <row r="932" ht="11.25" customHeight="1">
      <c r="A932" s="13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16"/>
    </row>
    <row r="933" ht="11.25" customHeight="1">
      <c r="A933" s="13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16"/>
    </row>
    <row r="934" ht="11.25" customHeight="1">
      <c r="A934" s="13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16"/>
    </row>
    <row r="935" ht="11.25" customHeight="1">
      <c r="A935" s="13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16"/>
    </row>
    <row r="936" ht="11.25" customHeight="1">
      <c r="A936" s="13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16"/>
    </row>
    <row r="937" ht="11.25" customHeight="1">
      <c r="A937" s="13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16"/>
    </row>
    <row r="938" ht="11.25" customHeight="1">
      <c r="A938" s="13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16"/>
    </row>
    <row r="939" ht="11.25" customHeight="1">
      <c r="A939" s="13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16"/>
    </row>
    <row r="940" ht="11.25" customHeight="1">
      <c r="A940" s="13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16"/>
    </row>
    <row r="941" ht="11.25" customHeight="1">
      <c r="A941" s="13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16"/>
    </row>
    <row r="942" ht="11.25" customHeight="1">
      <c r="A942" s="13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16"/>
    </row>
    <row r="943" ht="11.25" customHeight="1">
      <c r="A943" s="13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16"/>
    </row>
    <row r="944" ht="11.25" customHeight="1">
      <c r="A944" s="13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16"/>
    </row>
    <row r="945" ht="11.25" customHeight="1">
      <c r="A945" s="13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16"/>
    </row>
    <row r="946" ht="11.25" customHeight="1">
      <c r="A946" s="13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16"/>
    </row>
    <row r="947" ht="11.25" customHeight="1">
      <c r="A947" s="13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16"/>
    </row>
    <row r="948" ht="11.25" customHeight="1">
      <c r="A948" s="13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16"/>
    </row>
    <row r="949" ht="11.25" customHeight="1">
      <c r="A949" s="13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16"/>
    </row>
    <row r="950" ht="11.25" customHeight="1">
      <c r="A950" s="13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16"/>
    </row>
    <row r="951" ht="11.25" customHeight="1">
      <c r="A951" s="13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16"/>
    </row>
    <row r="952" ht="11.25" customHeight="1">
      <c r="A952" s="13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16"/>
    </row>
    <row r="953" ht="11.25" customHeight="1">
      <c r="A953" s="13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16"/>
    </row>
    <row r="954" ht="11.25" customHeight="1">
      <c r="A954" s="13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16"/>
    </row>
    <row r="955" ht="11.25" customHeight="1">
      <c r="A955" s="13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16"/>
    </row>
    <row r="956" ht="11.25" customHeight="1">
      <c r="A956" s="13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16"/>
    </row>
    <row r="957" ht="11.25" customHeight="1">
      <c r="A957" s="13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16"/>
    </row>
    <row r="958" ht="11.25" customHeight="1">
      <c r="A958" s="13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16"/>
    </row>
    <row r="959" ht="11.25" customHeight="1">
      <c r="A959" s="13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16"/>
    </row>
    <row r="960" ht="11.25" customHeight="1">
      <c r="A960" s="13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16"/>
    </row>
    <row r="961" ht="11.25" customHeight="1">
      <c r="A961" s="13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16"/>
    </row>
    <row r="962" ht="11.25" customHeight="1">
      <c r="A962" s="13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16"/>
    </row>
    <row r="963" ht="11.25" customHeight="1">
      <c r="A963" s="13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16"/>
    </row>
    <row r="964" ht="11.25" customHeight="1">
      <c r="A964" s="13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16"/>
    </row>
    <row r="965" ht="11.25" customHeight="1">
      <c r="A965" s="13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16"/>
    </row>
    <row r="966" ht="11.25" customHeight="1">
      <c r="A966" s="13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16"/>
    </row>
    <row r="967" ht="11.25" customHeight="1">
      <c r="A967" s="13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16"/>
    </row>
    <row r="968" ht="11.25" customHeight="1">
      <c r="A968" s="13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16"/>
    </row>
    <row r="969" ht="11.25" customHeight="1">
      <c r="A969" s="13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16"/>
    </row>
    <row r="970" ht="11.25" customHeight="1">
      <c r="A970" s="13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16"/>
    </row>
    <row r="971" ht="11.25" customHeight="1">
      <c r="A971" s="13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16"/>
    </row>
    <row r="972" ht="11.25" customHeight="1">
      <c r="A972" s="13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16"/>
    </row>
    <row r="973" ht="11.25" customHeight="1">
      <c r="A973" s="13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16"/>
    </row>
    <row r="974" ht="11.25" customHeight="1">
      <c r="A974" s="13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16"/>
    </row>
    <row r="975" ht="11.25" customHeight="1">
      <c r="A975" s="13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16"/>
    </row>
    <row r="976" ht="11.25" customHeight="1">
      <c r="A976" s="13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16"/>
    </row>
    <row r="977" ht="11.25" customHeight="1">
      <c r="A977" s="13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16"/>
    </row>
    <row r="978" ht="11.25" customHeight="1">
      <c r="A978" s="13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16"/>
    </row>
    <row r="979" ht="11.25" customHeight="1">
      <c r="A979" s="13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16"/>
    </row>
    <row r="980" ht="11.25" customHeight="1">
      <c r="A980" s="13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16"/>
    </row>
    <row r="981" ht="11.25" customHeight="1">
      <c r="A981" s="13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16"/>
    </row>
    <row r="982" ht="11.25" customHeight="1">
      <c r="A982" s="13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16"/>
    </row>
    <row r="983" ht="11.25" customHeight="1">
      <c r="A983" s="13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16"/>
    </row>
    <row r="984" ht="11.25" customHeight="1">
      <c r="A984" s="13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16"/>
    </row>
    <row r="985" ht="11.25" customHeight="1">
      <c r="A985" s="13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16"/>
    </row>
    <row r="986" ht="11.25" customHeight="1">
      <c r="A986" s="13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16"/>
    </row>
    <row r="987" ht="11.25" customHeight="1">
      <c r="A987" s="13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16"/>
    </row>
    <row r="988" ht="11.25" customHeight="1">
      <c r="A988" s="13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16"/>
    </row>
    <row r="989" ht="11.25" customHeight="1">
      <c r="A989" s="13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16"/>
    </row>
    <row r="990" ht="11.25" customHeight="1">
      <c r="A990" s="13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16"/>
    </row>
    <row r="991" ht="11.25" customHeight="1">
      <c r="A991" s="13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16"/>
    </row>
    <row r="992" ht="11.25" customHeight="1">
      <c r="A992" s="13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16"/>
    </row>
    <row r="993" ht="11.25" customHeight="1">
      <c r="A993" s="13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16"/>
    </row>
    <row r="994" ht="11.25" customHeight="1">
      <c r="A994" s="13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16"/>
    </row>
    <row r="995" ht="11.25" customHeight="1">
      <c r="A995" s="13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16"/>
    </row>
    <row r="996" ht="11.25" customHeight="1">
      <c r="A996" s="13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16"/>
    </row>
    <row r="997" ht="11.25" customHeight="1">
      <c r="A997" s="13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16"/>
    </row>
    <row r="998" ht="11.25" customHeight="1">
      <c r="A998" s="13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16"/>
    </row>
    <row r="999" ht="11.25" customHeight="1">
      <c r="A999" s="13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16"/>
    </row>
    <row r="1000" ht="11.25" customHeight="1">
      <c r="A1000" s="13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16"/>
    </row>
    <row r="1001" ht="11.25" customHeight="1">
      <c r="A1001" s="13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16"/>
    </row>
    <row r="1002" ht="11.25" customHeight="1">
      <c r="A1002" s="13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16"/>
    </row>
    <row r="1003" ht="11.25" customHeight="1">
      <c r="A1003" s="13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16"/>
    </row>
    <row r="1004" ht="11.25" customHeight="1">
      <c r="A1004" s="13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16"/>
    </row>
    <row r="1005" ht="11.25" customHeight="1">
      <c r="A1005" s="13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16"/>
    </row>
    <row r="1006" ht="11.25" customHeight="1">
      <c r="A1006" s="13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16"/>
    </row>
    <row r="1007" ht="11.25" customHeight="1">
      <c r="A1007" s="13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16"/>
    </row>
    <row r="1008" ht="11.25" customHeight="1">
      <c r="A1008" s="13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16"/>
    </row>
    <row r="1009" ht="11.25" customHeight="1">
      <c r="A1009" s="13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16"/>
    </row>
    <row r="1010" ht="11.25" customHeight="1">
      <c r="A1010" s="13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16"/>
    </row>
    <row r="1011" ht="11.25" customHeight="1">
      <c r="A1011" s="13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16"/>
    </row>
    <row r="1012" ht="11.25" customHeight="1">
      <c r="A1012" s="13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16"/>
    </row>
    <row r="1013" ht="11.25" customHeight="1">
      <c r="A1013" s="13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16"/>
    </row>
    <row r="1014" ht="11.25" customHeight="1">
      <c r="A1014" s="13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16"/>
    </row>
    <row r="1015" ht="11.25" customHeight="1">
      <c r="A1015" s="13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16"/>
    </row>
    <row r="1016" ht="11.25" customHeight="1">
      <c r="A1016" s="13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16"/>
    </row>
    <row r="1017" ht="11.25" customHeight="1">
      <c r="A1017" s="13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16"/>
    </row>
    <row r="1018" ht="11.25" customHeight="1">
      <c r="A1018" s="13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16"/>
    </row>
    <row r="1019" ht="11.25" customHeight="1">
      <c r="A1019" s="13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16"/>
    </row>
    <row r="1020" ht="11.25" customHeight="1">
      <c r="A1020" s="13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16"/>
    </row>
    <row r="1021" ht="11.25" customHeight="1">
      <c r="A1021" s="13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16"/>
    </row>
    <row r="1022" ht="11.25" customHeight="1">
      <c r="A1022" s="13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16"/>
    </row>
    <row r="1023" ht="11.25" customHeight="1">
      <c r="A1023" s="13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16"/>
    </row>
    <row r="1024" ht="11.25" customHeight="1">
      <c r="A1024" s="13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16"/>
    </row>
    <row r="1025" ht="11.25" customHeight="1">
      <c r="A1025" s="13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16"/>
    </row>
    <row r="1026" ht="11.25" customHeight="1">
      <c r="A1026" s="13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16"/>
    </row>
    <row r="1027" ht="11.25" customHeight="1">
      <c r="A1027" s="13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16"/>
    </row>
    <row r="1028" ht="11.25" customHeight="1">
      <c r="A1028" s="13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16"/>
    </row>
    <row r="1029" ht="11.25" customHeight="1">
      <c r="A1029" s="13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16"/>
    </row>
    <row r="1030" ht="11.25" customHeight="1">
      <c r="A1030" s="13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16"/>
    </row>
    <row r="1031" ht="11.25" customHeight="1">
      <c r="A1031" s="13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16"/>
    </row>
    <row r="1032" ht="11.25" customHeight="1">
      <c r="A1032" s="13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16"/>
    </row>
    <row r="1033" ht="11.25" customHeight="1">
      <c r="A1033" s="13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16"/>
    </row>
    <row r="1034" ht="11.25" customHeight="1">
      <c r="A1034" s="13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16"/>
    </row>
    <row r="1035" ht="11.25" customHeight="1">
      <c r="A1035" s="13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16"/>
    </row>
    <row r="1036" ht="11.25" customHeight="1">
      <c r="A1036" s="13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16"/>
    </row>
    <row r="1037" ht="11.25" customHeight="1">
      <c r="A1037" s="13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16"/>
    </row>
    <row r="1038" ht="11.25" customHeight="1">
      <c r="A1038" s="13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16"/>
    </row>
    <row r="1039" ht="11.25" customHeight="1">
      <c r="A1039" s="13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16"/>
    </row>
    <row r="1040" ht="11.25" customHeight="1">
      <c r="A1040" s="13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16"/>
    </row>
    <row r="1041" ht="11.25" customHeight="1">
      <c r="A1041" s="13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16"/>
    </row>
    <row r="1042" ht="11.25" customHeight="1">
      <c r="A1042" s="13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16"/>
    </row>
    <row r="1043" ht="11.25" customHeight="1">
      <c r="A1043" s="13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16"/>
    </row>
    <row r="1044" ht="11.25" customHeight="1">
      <c r="A1044" s="13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16"/>
    </row>
    <row r="1045" ht="11.25" customHeight="1">
      <c r="A1045" s="13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16"/>
    </row>
    <row r="1046" ht="11.25" customHeight="1">
      <c r="A1046" s="13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16"/>
    </row>
    <row r="1047" ht="11.25" customHeight="1">
      <c r="A1047" s="13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16"/>
    </row>
    <row r="1048" ht="11.25" customHeight="1">
      <c r="A1048" s="13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16"/>
    </row>
    <row r="1049" ht="11.25" customHeight="1">
      <c r="A1049" s="13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16"/>
    </row>
    <row r="1050" ht="11.25" customHeight="1">
      <c r="A1050" s="13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16"/>
    </row>
    <row r="1051" ht="11.25" customHeight="1">
      <c r="A1051" s="13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16"/>
    </row>
    <row r="1052" ht="11.25" customHeight="1">
      <c r="A1052" s="13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16"/>
    </row>
    <row r="1053" ht="11.25" customHeight="1">
      <c r="A1053" s="13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16"/>
    </row>
    <row r="1054" ht="11.25" customHeight="1">
      <c r="A1054" s="13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16"/>
    </row>
    <row r="1055" ht="11.25" customHeight="1">
      <c r="A1055" s="13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16"/>
    </row>
    <row r="1056" ht="11.25" customHeight="1">
      <c r="A1056" s="13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16"/>
    </row>
    <row r="1057" ht="11.25" customHeight="1">
      <c r="A1057" s="13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16"/>
    </row>
    <row r="1058" ht="11.25" customHeight="1">
      <c r="A1058" s="13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16"/>
    </row>
    <row r="1059" ht="11.25" customHeight="1">
      <c r="A1059" s="13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16"/>
    </row>
    <row r="1060" ht="11.25" customHeight="1">
      <c r="A1060" s="13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16"/>
    </row>
    <row r="1061" ht="11.25" customHeight="1">
      <c r="A1061" s="13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16"/>
    </row>
    <row r="1062" ht="11.25" customHeight="1">
      <c r="A1062" s="13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16"/>
    </row>
    <row r="1063" ht="11.25" customHeight="1">
      <c r="A1063" s="13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16"/>
    </row>
    <row r="1064" ht="11.25" customHeight="1">
      <c r="A1064" s="13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16"/>
    </row>
    <row r="1065" ht="11.25" customHeight="1">
      <c r="A1065" s="13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16"/>
    </row>
    <row r="1066" ht="11.25" customHeight="1">
      <c r="A1066" s="13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16"/>
    </row>
    <row r="1067" ht="11.25" customHeight="1">
      <c r="A1067" s="13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16"/>
    </row>
    <row r="1068" ht="11.25" customHeight="1">
      <c r="A1068" s="13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16"/>
    </row>
    <row r="1069" ht="11.25" customHeight="1">
      <c r="A1069" s="13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16"/>
    </row>
    <row r="1070" ht="11.25" customHeight="1">
      <c r="A1070" s="13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16"/>
    </row>
    <row r="1071" ht="11.25" customHeight="1">
      <c r="A1071" s="13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16"/>
    </row>
    <row r="1072" ht="11.25" customHeight="1">
      <c r="A1072" s="13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16"/>
    </row>
    <row r="1073" ht="11.25" customHeight="1">
      <c r="A1073" s="13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16"/>
    </row>
    <row r="1074" ht="11.25" customHeight="1">
      <c r="A1074" s="13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16"/>
    </row>
    <row r="1075" ht="11.25" customHeight="1">
      <c r="A1075" s="13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16"/>
    </row>
    <row r="1076" ht="11.25" customHeight="1">
      <c r="A1076" s="13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16"/>
    </row>
    <row r="1077" ht="11.25" customHeight="1">
      <c r="A1077" s="13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16"/>
    </row>
    <row r="1078" ht="11.25" customHeight="1">
      <c r="A1078" s="13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16"/>
    </row>
    <row r="1079" ht="11.25" customHeight="1">
      <c r="A1079" s="13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16"/>
    </row>
    <row r="1080" ht="11.25" customHeight="1">
      <c r="A1080" s="13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16"/>
    </row>
    <row r="1081" ht="11.25" customHeight="1">
      <c r="A1081" s="13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16"/>
    </row>
    <row r="1082" ht="11.25" customHeight="1">
      <c r="A1082" s="13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16"/>
    </row>
    <row r="1083" ht="11.25" customHeight="1">
      <c r="A1083" s="13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16"/>
    </row>
    <row r="1084" ht="11.25" customHeight="1">
      <c r="A1084" s="13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16"/>
    </row>
    <row r="1085" ht="11.25" customHeight="1">
      <c r="A1085" s="13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16"/>
    </row>
    <row r="1086" ht="11.25" customHeight="1">
      <c r="A1086" s="13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16"/>
    </row>
    <row r="1087" ht="11.25" customHeight="1">
      <c r="A1087" s="13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16"/>
    </row>
    <row r="1088" ht="11.25" customHeight="1">
      <c r="A1088" s="13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16"/>
    </row>
    <row r="1089" ht="11.25" customHeight="1">
      <c r="A1089" s="13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16"/>
    </row>
    <row r="1090" ht="11.25" customHeight="1">
      <c r="A1090" s="13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16"/>
    </row>
    <row r="1091" ht="11.25" customHeight="1">
      <c r="A1091" s="13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16"/>
    </row>
    <row r="1092" ht="11.25" customHeight="1">
      <c r="A1092" s="13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16"/>
    </row>
    <row r="1093" ht="11.25" customHeight="1">
      <c r="A1093" s="13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16"/>
    </row>
    <row r="1094" ht="11.25" customHeight="1">
      <c r="A1094" s="13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16"/>
    </row>
    <row r="1095" ht="11.25" customHeight="1">
      <c r="A1095" s="13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16"/>
    </row>
    <row r="1096" ht="11.25" customHeight="1">
      <c r="A1096" s="13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16"/>
    </row>
    <row r="1097" ht="11.25" customHeight="1">
      <c r="A1097" s="13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16"/>
    </row>
    <row r="1098" ht="11.25" customHeight="1">
      <c r="A1098" s="13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16"/>
    </row>
    <row r="1099" ht="11.25" customHeight="1">
      <c r="A1099" s="13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16"/>
    </row>
    <row r="1100" ht="11.25" customHeight="1">
      <c r="A1100" s="13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16"/>
    </row>
    <row r="1101" ht="11.25" customHeight="1">
      <c r="A1101" s="13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16"/>
    </row>
    <row r="1102" ht="11.25" customHeight="1">
      <c r="A1102" s="13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16"/>
    </row>
    <row r="1103" ht="11.25" customHeight="1">
      <c r="A1103" s="13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16"/>
    </row>
    <row r="1104" ht="11.25" customHeight="1">
      <c r="A1104" s="13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16"/>
    </row>
    <row r="1105" ht="11.25" customHeight="1">
      <c r="A1105" s="13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16"/>
    </row>
    <row r="1106" ht="11.25" customHeight="1">
      <c r="A1106" s="13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16"/>
    </row>
    <row r="1107" ht="11.25" customHeight="1">
      <c r="A1107" s="13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16"/>
    </row>
    <row r="1108" ht="11.25" customHeight="1">
      <c r="A1108" s="13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16"/>
    </row>
    <row r="1109" ht="11.25" customHeight="1">
      <c r="A1109" s="13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16"/>
    </row>
    <row r="1110" ht="11.25" customHeight="1">
      <c r="A1110" s="13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16"/>
    </row>
    <row r="1111" ht="11.25" customHeight="1">
      <c r="A1111" s="13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16"/>
    </row>
    <row r="1112" ht="11.25" customHeight="1">
      <c r="A1112" s="13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16"/>
    </row>
    <row r="1113" ht="11.25" customHeight="1">
      <c r="A1113" s="13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16"/>
    </row>
    <row r="1114" ht="11.25" customHeight="1">
      <c r="A1114" s="13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16"/>
    </row>
    <row r="1115" ht="11.25" customHeight="1">
      <c r="A1115" s="13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16"/>
    </row>
    <row r="1116" ht="11.25" customHeight="1">
      <c r="A1116" s="13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16"/>
    </row>
    <row r="1117" ht="11.25" customHeight="1">
      <c r="A1117" s="13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16"/>
    </row>
    <row r="1118" ht="11.25" customHeight="1">
      <c r="A1118" s="13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16"/>
    </row>
    <row r="1119" ht="11.25" customHeight="1">
      <c r="A1119" s="13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16"/>
    </row>
    <row r="1120" ht="11.25" customHeight="1">
      <c r="A1120" s="13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16"/>
    </row>
    <row r="1121" ht="11.25" customHeight="1">
      <c r="A1121" s="13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16"/>
    </row>
    <row r="1122" ht="11.25" customHeight="1">
      <c r="A1122" s="13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16"/>
    </row>
    <row r="1123" ht="11.25" customHeight="1">
      <c r="A1123" s="13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16"/>
    </row>
    <row r="1124" ht="11.25" customHeight="1">
      <c r="A1124" s="13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16"/>
    </row>
    <row r="1125" ht="11.25" customHeight="1">
      <c r="A1125" s="13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16"/>
    </row>
    <row r="1126" ht="11.25" customHeight="1">
      <c r="A1126" s="13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16"/>
    </row>
    <row r="1127" ht="11.25" customHeight="1">
      <c r="A1127" s="13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16"/>
    </row>
    <row r="1128" ht="11.25" customHeight="1">
      <c r="A1128" s="13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16"/>
    </row>
    <row r="1129" ht="11.25" customHeight="1">
      <c r="A1129" s="13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16"/>
    </row>
    <row r="1130" ht="11.25" customHeight="1">
      <c r="A1130" s="13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16"/>
    </row>
    <row r="1131" ht="11.25" customHeight="1">
      <c r="A1131" s="13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16"/>
    </row>
    <row r="1132" ht="11.25" customHeight="1">
      <c r="A1132" s="13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16"/>
    </row>
    <row r="1133" ht="11.25" customHeight="1">
      <c r="A1133" s="13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16"/>
    </row>
    <row r="1134" ht="11.25" customHeight="1">
      <c r="A1134" s="13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16"/>
    </row>
    <row r="1135" ht="11.25" customHeight="1">
      <c r="A1135" s="13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16"/>
    </row>
    <row r="1136" ht="11.25" customHeight="1">
      <c r="A1136" s="13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16"/>
    </row>
    <row r="1137" ht="11.25" customHeight="1">
      <c r="A1137" s="13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16"/>
    </row>
    <row r="1138" ht="11.25" customHeight="1">
      <c r="A1138" s="13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16"/>
    </row>
    <row r="1139" ht="11.25" customHeight="1">
      <c r="A1139" s="13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16"/>
    </row>
    <row r="1140" ht="11.25" customHeight="1">
      <c r="A1140" s="13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16"/>
    </row>
    <row r="1141" ht="11.25" customHeight="1">
      <c r="A1141" s="13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16"/>
    </row>
    <row r="1142" ht="11.25" customHeight="1">
      <c r="A1142" s="13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16"/>
    </row>
    <row r="1143" ht="11.25" customHeight="1">
      <c r="A1143" s="13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16"/>
    </row>
    <row r="1144" ht="11.25" customHeight="1">
      <c r="A1144" s="13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16"/>
    </row>
    <row r="1145" ht="11.25" customHeight="1">
      <c r="A1145" s="13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16"/>
    </row>
    <row r="1146" ht="11.25" customHeight="1">
      <c r="A1146" s="13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16"/>
    </row>
    <row r="1147" ht="11.25" customHeight="1">
      <c r="A1147" s="13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16"/>
    </row>
    <row r="1148" ht="11.25" customHeight="1">
      <c r="A1148" s="13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16"/>
    </row>
    <row r="1149" ht="11.25" customHeight="1">
      <c r="A1149" s="13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16"/>
    </row>
    <row r="1150" ht="11.25" customHeight="1">
      <c r="A1150" s="13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16"/>
    </row>
    <row r="1151" ht="11.25" customHeight="1">
      <c r="A1151" s="13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16"/>
    </row>
    <row r="1152" ht="11.25" customHeight="1">
      <c r="A1152" s="13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16"/>
    </row>
    <row r="1153" ht="11.25" customHeight="1">
      <c r="A1153" s="13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16"/>
    </row>
    <row r="1154" ht="11.25" customHeight="1">
      <c r="A1154" s="13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16"/>
    </row>
    <row r="1155" ht="11.25" customHeight="1">
      <c r="A1155" s="13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16"/>
    </row>
    <row r="1156" ht="11.25" customHeight="1">
      <c r="A1156" s="13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16"/>
    </row>
    <row r="1157" ht="11.25" customHeight="1">
      <c r="A1157" s="13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16"/>
    </row>
    <row r="1158" ht="11.25" customHeight="1">
      <c r="A1158" s="13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16"/>
    </row>
    <row r="1159" ht="11.25" customHeight="1">
      <c r="A1159" s="13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16"/>
    </row>
    <row r="1160" ht="11.25" customHeight="1">
      <c r="A1160" s="13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16"/>
    </row>
    <row r="1161" ht="11.25" customHeight="1">
      <c r="A1161" s="13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16"/>
    </row>
    <row r="1162" ht="11.25" customHeight="1">
      <c r="A1162" s="13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16"/>
    </row>
    <row r="1163" ht="11.25" customHeight="1">
      <c r="A1163" s="13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16"/>
    </row>
    <row r="1164" ht="11.25" customHeight="1">
      <c r="A1164" s="13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16"/>
    </row>
    <row r="1165" ht="11.25" customHeight="1">
      <c r="A1165" s="13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16"/>
    </row>
    <row r="1166" ht="11.25" customHeight="1">
      <c r="A1166" s="13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16"/>
    </row>
    <row r="1167" ht="11.25" customHeight="1">
      <c r="A1167" s="13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16"/>
    </row>
    <row r="1168" ht="11.25" customHeight="1">
      <c r="A1168" s="13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16"/>
    </row>
    <row r="1169" ht="11.25" customHeight="1">
      <c r="A1169" s="13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16"/>
    </row>
    <row r="1170" ht="11.25" customHeight="1">
      <c r="A1170" s="13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16"/>
    </row>
    <row r="1171" ht="11.25" customHeight="1">
      <c r="A1171" s="13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16"/>
    </row>
    <row r="1172" ht="11.25" customHeight="1">
      <c r="A1172" s="13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16"/>
    </row>
    <row r="1173" ht="11.25" customHeight="1">
      <c r="A1173" s="13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16"/>
    </row>
    <row r="1174" ht="11.25" customHeight="1">
      <c r="A1174" s="13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16"/>
    </row>
    <row r="1175" ht="11.25" customHeight="1">
      <c r="A1175" s="13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16"/>
    </row>
    <row r="1176" ht="11.25" customHeight="1">
      <c r="A1176" s="13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16"/>
    </row>
    <row r="1177" ht="11.25" customHeight="1">
      <c r="A1177" s="13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16"/>
    </row>
    <row r="1178" ht="11.25" customHeight="1">
      <c r="A1178" s="13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16"/>
    </row>
    <row r="1179" ht="11.25" customHeight="1">
      <c r="A1179" s="13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16"/>
    </row>
    <row r="1180" ht="11.25" customHeight="1">
      <c r="A1180" s="13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16"/>
    </row>
    <row r="1181" ht="11.25" customHeight="1">
      <c r="A1181" s="13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16"/>
    </row>
    <row r="1182" ht="11.25" customHeight="1">
      <c r="A1182" s="13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16"/>
    </row>
    <row r="1183" ht="11.25" customHeight="1">
      <c r="A1183" s="13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16"/>
    </row>
    <row r="1184" ht="11.25" customHeight="1">
      <c r="A1184" s="13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16"/>
    </row>
    <row r="1185" ht="11.25" customHeight="1">
      <c r="A1185" s="13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16"/>
    </row>
    <row r="1186" ht="11.25" customHeight="1">
      <c r="A1186" s="13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16"/>
    </row>
    <row r="1187" ht="11.25" customHeight="1">
      <c r="A1187" s="13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16"/>
    </row>
    <row r="1188" ht="11.25" customHeight="1">
      <c r="A1188" s="13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16"/>
    </row>
    <row r="1189" ht="11.25" customHeight="1">
      <c r="A1189" s="13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16"/>
    </row>
    <row r="1190" ht="11.25" customHeight="1">
      <c r="A1190" s="13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16"/>
    </row>
    <row r="1191" ht="11.25" customHeight="1">
      <c r="A1191" s="13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16"/>
    </row>
    <row r="1192" ht="11.25" customHeight="1">
      <c r="A1192" s="13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16"/>
    </row>
    <row r="1193" ht="11.25" customHeight="1">
      <c r="A1193" s="13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16"/>
    </row>
    <row r="1194" ht="11.25" customHeight="1">
      <c r="A1194" s="13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16"/>
    </row>
    <row r="1195" ht="11.25" customHeight="1">
      <c r="A1195" s="13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16"/>
    </row>
    <row r="1196" ht="11.25" customHeight="1">
      <c r="A1196" s="13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16"/>
    </row>
    <row r="1197" ht="11.25" customHeight="1">
      <c r="A1197" s="13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16"/>
    </row>
    <row r="1198" ht="11.25" customHeight="1">
      <c r="A1198" s="13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16"/>
    </row>
    <row r="1199" ht="11.25" customHeight="1">
      <c r="A1199" s="13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16"/>
    </row>
    <row r="1200" ht="11.25" customHeight="1">
      <c r="A1200" s="13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16"/>
    </row>
    <row r="1201" ht="11.25" customHeight="1">
      <c r="A1201" s="13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16"/>
    </row>
    <row r="1202" ht="11.25" customHeight="1">
      <c r="A1202" s="13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16"/>
    </row>
    <row r="1203" ht="11.25" customHeight="1">
      <c r="A1203" s="13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16"/>
    </row>
    <row r="1204" ht="11.25" customHeight="1">
      <c r="A1204" s="13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16"/>
    </row>
    <row r="1205" ht="11.25" customHeight="1">
      <c r="A1205" s="13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16"/>
    </row>
    <row r="1206" ht="11.25" customHeight="1">
      <c r="A1206" s="13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16"/>
    </row>
    <row r="1207" ht="11.25" customHeight="1">
      <c r="A1207" s="13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16"/>
    </row>
    <row r="1208" ht="11.25" customHeight="1">
      <c r="A1208" s="13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16"/>
    </row>
    <row r="1209" ht="11.25" customHeight="1">
      <c r="A1209" s="13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16"/>
    </row>
    <row r="1210" ht="11.25" customHeight="1">
      <c r="A1210" s="13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16"/>
    </row>
    <row r="1211" ht="11.25" customHeight="1">
      <c r="A1211" s="13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16"/>
    </row>
    <row r="1212" ht="11.25" customHeight="1">
      <c r="A1212" s="13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16"/>
    </row>
    <row r="1213" ht="11.25" customHeight="1">
      <c r="A1213" s="13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16"/>
    </row>
    <row r="1214" ht="11.25" customHeight="1">
      <c r="A1214" s="13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16"/>
    </row>
    <row r="1215" ht="11.25" customHeight="1">
      <c r="A1215" s="13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16"/>
    </row>
    <row r="1216" ht="11.25" customHeight="1">
      <c r="A1216" s="13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16"/>
    </row>
    <row r="1217" ht="11.25" customHeight="1">
      <c r="A1217" s="13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16"/>
    </row>
    <row r="1218" ht="11.25" customHeight="1">
      <c r="A1218" s="13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16"/>
    </row>
    <row r="1219" ht="11.25" customHeight="1">
      <c r="A1219" s="13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16"/>
    </row>
    <row r="1220" ht="11.25" customHeight="1">
      <c r="A1220" s="13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16"/>
    </row>
    <row r="1221" ht="11.25" customHeight="1">
      <c r="A1221" s="13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16"/>
    </row>
    <row r="1222" ht="11.25" customHeight="1">
      <c r="A1222" s="13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16"/>
    </row>
    <row r="1223" ht="11.25" customHeight="1">
      <c r="A1223" s="13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16"/>
    </row>
    <row r="1224" ht="11.25" customHeight="1">
      <c r="A1224" s="13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16"/>
    </row>
    <row r="1225" ht="11.25" customHeight="1">
      <c r="A1225" s="13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16"/>
    </row>
    <row r="1226" ht="11.25" customHeight="1">
      <c r="A1226" s="13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16"/>
    </row>
    <row r="1227" ht="11.25" customHeight="1">
      <c r="A1227" s="13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16"/>
    </row>
    <row r="1228" ht="11.25" customHeight="1">
      <c r="A1228" s="13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16"/>
    </row>
    <row r="1229" ht="11.25" customHeight="1">
      <c r="A1229" s="13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16"/>
    </row>
    <row r="1230" ht="11.25" customHeight="1">
      <c r="A1230" s="13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16"/>
    </row>
    <row r="1231" ht="11.25" customHeight="1">
      <c r="A1231" s="13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16"/>
    </row>
    <row r="1232" ht="11.25" customHeight="1">
      <c r="A1232" s="13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16"/>
    </row>
    <row r="1233" ht="11.25" customHeight="1">
      <c r="A1233" s="13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16"/>
    </row>
    <row r="1234" ht="11.25" customHeight="1">
      <c r="A1234" s="13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16"/>
    </row>
    <row r="1235" ht="11.25" customHeight="1">
      <c r="A1235" s="13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16"/>
    </row>
    <row r="1236" ht="11.25" customHeight="1">
      <c r="A1236" s="13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16"/>
    </row>
    <row r="1237" ht="11.25" customHeight="1">
      <c r="A1237" s="13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16"/>
    </row>
    <row r="1238" ht="11.25" customHeight="1">
      <c r="A1238" s="13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16"/>
    </row>
    <row r="1239" ht="11.25" customHeight="1">
      <c r="A1239" s="13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16"/>
    </row>
    <row r="1240" ht="11.25" customHeight="1">
      <c r="A1240" s="13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16"/>
    </row>
    <row r="1241" ht="11.25" customHeight="1">
      <c r="A1241" s="13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16"/>
    </row>
    <row r="1242" ht="11.25" customHeight="1">
      <c r="A1242" s="13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16"/>
    </row>
    <row r="1243" ht="11.25" customHeight="1">
      <c r="A1243" s="13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16"/>
    </row>
    <row r="1244" ht="11.25" customHeight="1">
      <c r="A1244" s="13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16"/>
    </row>
    <row r="1245" ht="11.25" customHeight="1">
      <c r="A1245" s="13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16"/>
    </row>
    <row r="1246" ht="11.25" customHeight="1">
      <c r="A1246" s="13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16"/>
    </row>
    <row r="1247" ht="11.25" customHeight="1">
      <c r="A1247" s="13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16"/>
    </row>
    <row r="1248" ht="11.25" customHeight="1">
      <c r="A1248" s="13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16"/>
    </row>
    <row r="1249" ht="11.25" customHeight="1">
      <c r="A1249" s="13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16"/>
    </row>
    <row r="1250" ht="11.25" customHeight="1">
      <c r="A1250" s="13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16"/>
    </row>
    <row r="1251" ht="11.25" customHeight="1">
      <c r="A1251" s="13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16"/>
    </row>
    <row r="1252" ht="11.25" customHeight="1">
      <c r="A1252" s="13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16"/>
    </row>
    <row r="1253" ht="11.25" customHeight="1">
      <c r="A1253" s="13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16"/>
    </row>
    <row r="1254" ht="11.25" customHeight="1">
      <c r="A1254" s="13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16"/>
    </row>
    <row r="1255" ht="11.25" customHeight="1">
      <c r="A1255" s="13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16"/>
    </row>
    <row r="1256" ht="11.25" customHeight="1">
      <c r="A1256" s="13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16"/>
    </row>
    <row r="1257" ht="11.25" customHeight="1">
      <c r="A1257" s="13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16"/>
    </row>
    <row r="1258" ht="11.25" customHeight="1">
      <c r="A1258" s="13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16"/>
    </row>
    <row r="1259" ht="11.25" customHeight="1">
      <c r="A1259" s="13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16"/>
    </row>
    <row r="1260" ht="11.25" customHeight="1">
      <c r="A1260" s="13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16"/>
    </row>
    <row r="1261" ht="11.25" customHeight="1">
      <c r="A1261" s="13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16"/>
    </row>
    <row r="1262" ht="11.25" customHeight="1">
      <c r="A1262" s="13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16"/>
    </row>
    <row r="1263" ht="11.25" customHeight="1">
      <c r="A1263" s="13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16"/>
    </row>
    <row r="1264" ht="11.25" customHeight="1">
      <c r="A1264" s="13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16"/>
    </row>
    <row r="1265" ht="11.25" customHeight="1">
      <c r="A1265" s="13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16"/>
    </row>
    <row r="1266" ht="11.25" customHeight="1">
      <c r="A1266" s="13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16"/>
    </row>
    <row r="1267" ht="11.25" customHeight="1">
      <c r="A1267" s="13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16"/>
    </row>
    <row r="1268" ht="11.25" customHeight="1">
      <c r="A1268" s="13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16"/>
    </row>
    <row r="1269" ht="11.25" customHeight="1">
      <c r="A1269" s="13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16"/>
    </row>
    <row r="1270" ht="11.25" customHeight="1">
      <c r="A1270" s="13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16"/>
    </row>
    <row r="1271" ht="11.25" customHeight="1">
      <c r="A1271" s="13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16"/>
    </row>
    <row r="1272" ht="11.25" customHeight="1">
      <c r="A1272" s="13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16"/>
    </row>
    <row r="1273" ht="11.25" customHeight="1">
      <c r="A1273" s="13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16"/>
    </row>
    <row r="1274" ht="11.25" customHeight="1">
      <c r="A1274" s="13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16"/>
    </row>
    <row r="1275" ht="11.25" customHeight="1">
      <c r="A1275" s="13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16"/>
    </row>
    <row r="1276" ht="11.25" customHeight="1">
      <c r="A1276" s="13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16"/>
    </row>
    <row r="1277" ht="11.25" customHeight="1">
      <c r="A1277" s="13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16"/>
    </row>
    <row r="1278" ht="11.25" customHeight="1">
      <c r="A1278" s="13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16"/>
    </row>
    <row r="1279" ht="11.25" customHeight="1">
      <c r="A1279" s="13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16"/>
    </row>
    <row r="1280" ht="11.25" customHeight="1">
      <c r="A1280" s="13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16"/>
    </row>
    <row r="1281" ht="11.25" customHeight="1">
      <c r="A1281" s="13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16"/>
    </row>
    <row r="1282" ht="11.25" customHeight="1">
      <c r="A1282" s="13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16"/>
    </row>
    <row r="1283" ht="11.25" customHeight="1">
      <c r="A1283" s="13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16"/>
    </row>
    <row r="1284" ht="11.25" customHeight="1">
      <c r="A1284" s="13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16"/>
    </row>
    <row r="1285" ht="11.25" customHeight="1">
      <c r="A1285" s="13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16"/>
    </row>
    <row r="1286" ht="11.25" customHeight="1">
      <c r="A1286" s="13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16"/>
    </row>
    <row r="1287" ht="11.25" customHeight="1">
      <c r="A1287" s="13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16"/>
    </row>
    <row r="1288" ht="11.25" customHeight="1">
      <c r="A1288" s="13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16"/>
    </row>
    <row r="1289" ht="11.25" customHeight="1">
      <c r="A1289" s="13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16"/>
    </row>
    <row r="1290" ht="11.25" customHeight="1">
      <c r="A1290" s="13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16"/>
    </row>
    <row r="1291" ht="11.25" customHeight="1">
      <c r="A1291" s="13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16"/>
    </row>
    <row r="1292" ht="11.25" customHeight="1">
      <c r="A1292" s="13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16"/>
    </row>
    <row r="1293" ht="11.25" customHeight="1">
      <c r="A1293" s="13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16"/>
    </row>
    <row r="1294" ht="11.25" customHeight="1">
      <c r="A1294" s="13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16"/>
    </row>
    <row r="1295" ht="11.25" customHeight="1">
      <c r="A1295" s="13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16"/>
    </row>
    <row r="1296" ht="11.25" customHeight="1">
      <c r="A1296" s="13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16"/>
    </row>
    <row r="1297" ht="11.25" customHeight="1">
      <c r="A1297" s="13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16"/>
    </row>
    <row r="1298" ht="11.25" customHeight="1">
      <c r="A1298" s="13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16"/>
    </row>
    <row r="1299" ht="11.25" customHeight="1">
      <c r="A1299" s="13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16"/>
    </row>
    <row r="1300" ht="11.25" customHeight="1">
      <c r="A1300" s="13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16"/>
    </row>
    <row r="1301" ht="11.25" customHeight="1">
      <c r="A1301" s="13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16"/>
    </row>
    <row r="1302" ht="11.25" customHeight="1">
      <c r="A1302" s="13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16"/>
    </row>
    <row r="1303" ht="11.25" customHeight="1">
      <c r="A1303" s="13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16"/>
    </row>
    <row r="1304" ht="11.25" customHeight="1">
      <c r="A1304" s="13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16"/>
    </row>
    <row r="1305" ht="11.25" customHeight="1">
      <c r="A1305" s="13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16"/>
    </row>
    <row r="1306" ht="11.25" customHeight="1">
      <c r="A1306" s="13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16"/>
    </row>
    <row r="1307" ht="11.25" customHeight="1">
      <c r="A1307" s="13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16"/>
    </row>
    <row r="1308" ht="11.25" customHeight="1">
      <c r="A1308" s="13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16"/>
    </row>
    <row r="1309" ht="11.25" customHeight="1">
      <c r="A1309" s="13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16"/>
    </row>
    <row r="1310" ht="11.25" customHeight="1">
      <c r="A1310" s="13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16"/>
    </row>
    <row r="1311" ht="11.25" customHeight="1">
      <c r="A1311" s="13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16"/>
    </row>
    <row r="1312" ht="11.25" customHeight="1">
      <c r="A1312" s="13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16"/>
    </row>
    <row r="1313" ht="11.25" customHeight="1">
      <c r="A1313" s="13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16"/>
    </row>
    <row r="1314" ht="11.25" customHeight="1">
      <c r="A1314" s="13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16"/>
    </row>
    <row r="1315" ht="11.25" customHeight="1">
      <c r="A1315" s="13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16"/>
    </row>
    <row r="1316" ht="11.25" customHeight="1">
      <c r="A1316" s="13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16"/>
    </row>
    <row r="1317" ht="11.25" customHeight="1">
      <c r="A1317" s="13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U1317" s="16"/>
    </row>
    <row r="1318" ht="11.25" customHeight="1">
      <c r="A1318" s="13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U1318" s="16"/>
    </row>
    <row r="1319" ht="11.25" customHeight="1">
      <c r="A1319" s="13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16"/>
    </row>
    <row r="1320" ht="11.25" customHeight="1">
      <c r="A1320" s="13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U1320" s="16"/>
    </row>
    <row r="1321" ht="11.25" customHeight="1">
      <c r="A1321" s="13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16"/>
    </row>
    <row r="1322" ht="11.25" customHeight="1">
      <c r="A1322" s="13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16"/>
    </row>
    <row r="1323" ht="11.25" customHeight="1">
      <c r="A1323" s="13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U1323" s="16"/>
    </row>
    <row r="1324" ht="11.25" customHeight="1">
      <c r="A1324" s="13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U1324" s="16"/>
    </row>
    <row r="1325" ht="11.25" customHeight="1">
      <c r="A1325" s="13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U1325" s="16"/>
    </row>
    <row r="1326" ht="11.25" customHeight="1">
      <c r="A1326" s="13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U1326" s="16"/>
    </row>
    <row r="1327" ht="11.25" customHeight="1">
      <c r="A1327" s="13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U1327" s="16"/>
    </row>
    <row r="1328" ht="11.25" customHeight="1">
      <c r="A1328" s="13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U1328" s="16"/>
    </row>
    <row r="1329" ht="11.25" customHeight="1">
      <c r="A1329" s="13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16"/>
    </row>
    <row r="1330" ht="11.25" customHeight="1">
      <c r="A1330" s="13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U1330" s="16"/>
    </row>
    <row r="1331" ht="11.25" customHeight="1">
      <c r="A1331" s="13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U1331" s="16"/>
    </row>
    <row r="1332" ht="11.25" customHeight="1">
      <c r="A1332" s="13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U1332" s="16"/>
    </row>
    <row r="1333" ht="11.25" customHeight="1">
      <c r="A1333" s="13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U1333" s="16"/>
    </row>
    <row r="1334" ht="11.25" customHeight="1">
      <c r="A1334" s="13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U1334" s="16"/>
    </row>
    <row r="1335" ht="11.25" customHeight="1">
      <c r="A1335" s="13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U1335" s="16"/>
    </row>
    <row r="1336" ht="11.25" customHeight="1">
      <c r="A1336" s="13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U1336" s="16"/>
    </row>
    <row r="1337" ht="11.25" customHeight="1">
      <c r="A1337" s="13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16"/>
    </row>
    <row r="1338" ht="11.25" customHeight="1">
      <c r="A1338" s="13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U1338" s="16"/>
    </row>
    <row r="1339" ht="11.25" customHeight="1">
      <c r="A1339" s="13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U1339" s="16"/>
    </row>
    <row r="1340" ht="11.25" customHeight="1">
      <c r="A1340" s="13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16"/>
    </row>
    <row r="1341" ht="11.25" customHeight="1">
      <c r="A1341" s="13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U1341" s="16"/>
    </row>
    <row r="1342" ht="11.25" customHeight="1">
      <c r="A1342" s="13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U1342" s="16"/>
    </row>
    <row r="1343" ht="11.25" customHeight="1">
      <c r="A1343" s="13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16"/>
    </row>
    <row r="1344" ht="11.25" customHeight="1">
      <c r="A1344" s="13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U1344" s="16"/>
    </row>
    <row r="1345" ht="11.25" customHeight="1">
      <c r="A1345" s="13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16"/>
    </row>
    <row r="1346" ht="11.25" customHeight="1">
      <c r="A1346" s="13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U1346" s="16"/>
    </row>
    <row r="1347" ht="11.25" customHeight="1">
      <c r="A1347" s="13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16"/>
    </row>
    <row r="1348" ht="11.25" customHeight="1">
      <c r="A1348" s="13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16"/>
    </row>
    <row r="1349" ht="11.25" customHeight="1">
      <c r="A1349" s="13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U1349" s="16"/>
    </row>
    <row r="1350" ht="11.25" customHeight="1">
      <c r="A1350" s="13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U1350" s="16"/>
    </row>
    <row r="1351" ht="11.25" customHeight="1">
      <c r="A1351" s="13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U1351" s="16"/>
    </row>
    <row r="1352" ht="11.25" customHeight="1">
      <c r="A1352" s="13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16"/>
    </row>
    <row r="1353" ht="11.25" customHeight="1">
      <c r="A1353" s="13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U1353" s="16"/>
    </row>
    <row r="1354" ht="11.25" customHeight="1">
      <c r="A1354" s="13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U1354" s="16"/>
    </row>
    <row r="1355" ht="11.25" customHeight="1">
      <c r="A1355" s="13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U1355" s="16"/>
    </row>
    <row r="1356" ht="11.25" customHeight="1">
      <c r="A1356" s="13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16"/>
    </row>
    <row r="1357" ht="11.25" customHeight="1">
      <c r="A1357" s="13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U1357" s="16"/>
    </row>
  </sheetData>
  <mergeCells count="189">
    <mergeCell ref="B57:S57"/>
    <mergeCell ref="D58:R58"/>
    <mergeCell ref="S58:T58"/>
    <mergeCell ref="I59:R59"/>
    <mergeCell ref="B68:S68"/>
    <mergeCell ref="B69:T69"/>
    <mergeCell ref="S70:T70"/>
    <mergeCell ref="D70:R70"/>
    <mergeCell ref="I71:R71"/>
    <mergeCell ref="B80:S80"/>
    <mergeCell ref="B81:S81"/>
    <mergeCell ref="D82:R82"/>
    <mergeCell ref="S82:T82"/>
    <mergeCell ref="I83:R83"/>
    <mergeCell ref="U22:U32"/>
    <mergeCell ref="U34:U44"/>
    <mergeCell ref="U46:U56"/>
    <mergeCell ref="U58:U68"/>
    <mergeCell ref="U70:U80"/>
    <mergeCell ref="U82:U92"/>
    <mergeCell ref="U94:U104"/>
    <mergeCell ref="U106:U116"/>
    <mergeCell ref="U118:U128"/>
    <mergeCell ref="U130:U140"/>
    <mergeCell ref="U142:U152"/>
    <mergeCell ref="U154:U164"/>
    <mergeCell ref="U166:U176"/>
    <mergeCell ref="U178:U188"/>
    <mergeCell ref="U286:U296"/>
    <mergeCell ref="U298:U308"/>
    <mergeCell ref="U310:U320"/>
    <mergeCell ref="U322:U332"/>
    <mergeCell ref="U334:U344"/>
    <mergeCell ref="U346:U356"/>
    <mergeCell ref="U190:U200"/>
    <mergeCell ref="U214:U224"/>
    <mergeCell ref="U226:U236"/>
    <mergeCell ref="U238:U248"/>
    <mergeCell ref="U250:U260"/>
    <mergeCell ref="U262:U272"/>
    <mergeCell ref="U274:U284"/>
    <mergeCell ref="B1:H1"/>
    <mergeCell ref="I1:T1"/>
    <mergeCell ref="D2:R2"/>
    <mergeCell ref="D3:E3"/>
    <mergeCell ref="F3:G3"/>
    <mergeCell ref="H3:J3"/>
    <mergeCell ref="K3:N3"/>
    <mergeCell ref="O3:R3"/>
    <mergeCell ref="B4:T4"/>
    <mergeCell ref="D5:R5"/>
    <mergeCell ref="S5:T5"/>
    <mergeCell ref="U5:U11"/>
    <mergeCell ref="I6:R6"/>
    <mergeCell ref="B11:S11"/>
    <mergeCell ref="B12:S12"/>
    <mergeCell ref="D13:R13"/>
    <mergeCell ref="S13:T13"/>
    <mergeCell ref="U13:U20"/>
    <mergeCell ref="I14:R14"/>
    <mergeCell ref="B20:S20"/>
    <mergeCell ref="B21:S21"/>
    <mergeCell ref="D22:R22"/>
    <mergeCell ref="S22:T22"/>
    <mergeCell ref="I23:R23"/>
    <mergeCell ref="B32:S32"/>
    <mergeCell ref="B33:S33"/>
    <mergeCell ref="D34:R34"/>
    <mergeCell ref="S34:T34"/>
    <mergeCell ref="I35:R35"/>
    <mergeCell ref="B44:S44"/>
    <mergeCell ref="B45:S45"/>
    <mergeCell ref="D46:R46"/>
    <mergeCell ref="S46:T46"/>
    <mergeCell ref="I47:R47"/>
    <mergeCell ref="B56:S56"/>
    <mergeCell ref="B92:S92"/>
    <mergeCell ref="B93:S93"/>
    <mergeCell ref="D94:R94"/>
    <mergeCell ref="S94:T94"/>
    <mergeCell ref="I95:R95"/>
    <mergeCell ref="B104:S104"/>
    <mergeCell ref="B105:S105"/>
    <mergeCell ref="D106:R106"/>
    <mergeCell ref="S106:T106"/>
    <mergeCell ref="I107:R107"/>
    <mergeCell ref="B116:S116"/>
    <mergeCell ref="B117:S117"/>
    <mergeCell ref="D118:R118"/>
    <mergeCell ref="S118:T118"/>
    <mergeCell ref="B225:S225"/>
    <mergeCell ref="D226:R226"/>
    <mergeCell ref="S226:T226"/>
    <mergeCell ref="I227:R227"/>
    <mergeCell ref="B236:S236"/>
    <mergeCell ref="B237:S237"/>
    <mergeCell ref="S238:T238"/>
    <mergeCell ref="D238:R238"/>
    <mergeCell ref="I239:R239"/>
    <mergeCell ref="B248:S248"/>
    <mergeCell ref="B249:S249"/>
    <mergeCell ref="D250:R250"/>
    <mergeCell ref="S250:T250"/>
    <mergeCell ref="I251:R251"/>
    <mergeCell ref="B260:S260"/>
    <mergeCell ref="B261:S261"/>
    <mergeCell ref="D262:R262"/>
    <mergeCell ref="S262:T262"/>
    <mergeCell ref="I263:R263"/>
    <mergeCell ref="B272:S272"/>
    <mergeCell ref="B273:S273"/>
    <mergeCell ref="D274:R274"/>
    <mergeCell ref="S274:T274"/>
    <mergeCell ref="I275:R275"/>
    <mergeCell ref="B284:S284"/>
    <mergeCell ref="B285:T285"/>
    <mergeCell ref="D286:R286"/>
    <mergeCell ref="S286:T286"/>
    <mergeCell ref="B309:S309"/>
    <mergeCell ref="D310:R310"/>
    <mergeCell ref="S310:T310"/>
    <mergeCell ref="I311:R311"/>
    <mergeCell ref="B320:S320"/>
    <mergeCell ref="B321:S321"/>
    <mergeCell ref="S322:T322"/>
    <mergeCell ref="I335:R335"/>
    <mergeCell ref="B344:S344"/>
    <mergeCell ref="B345:S345"/>
    <mergeCell ref="D346:R346"/>
    <mergeCell ref="S346:T346"/>
    <mergeCell ref="I347:R347"/>
    <mergeCell ref="B356:S356"/>
    <mergeCell ref="B357:S357"/>
    <mergeCell ref="D322:R322"/>
    <mergeCell ref="I323:R323"/>
    <mergeCell ref="I324:R324"/>
    <mergeCell ref="B332:S332"/>
    <mergeCell ref="B333:S333"/>
    <mergeCell ref="D334:R334"/>
    <mergeCell ref="S334:T334"/>
    <mergeCell ref="I119:R119"/>
    <mergeCell ref="B128:S128"/>
    <mergeCell ref="B129:S129"/>
    <mergeCell ref="D130:R130"/>
    <mergeCell ref="S130:T130"/>
    <mergeCell ref="I131:R131"/>
    <mergeCell ref="B140:S140"/>
    <mergeCell ref="B141:T141"/>
    <mergeCell ref="D142:R142"/>
    <mergeCell ref="S142:T142"/>
    <mergeCell ref="I143:R143"/>
    <mergeCell ref="B152:S152"/>
    <mergeCell ref="B153:S153"/>
    <mergeCell ref="S154:T154"/>
    <mergeCell ref="D154:R154"/>
    <mergeCell ref="I155:R155"/>
    <mergeCell ref="B164:S164"/>
    <mergeCell ref="B165:S165"/>
    <mergeCell ref="D166:R166"/>
    <mergeCell ref="S166:T166"/>
    <mergeCell ref="I167:R167"/>
    <mergeCell ref="B176:S176"/>
    <mergeCell ref="B177:S177"/>
    <mergeCell ref="D178:R178"/>
    <mergeCell ref="S178:T178"/>
    <mergeCell ref="I179:R179"/>
    <mergeCell ref="B188:S188"/>
    <mergeCell ref="B189:S189"/>
    <mergeCell ref="D190:R190"/>
    <mergeCell ref="S190:T190"/>
    <mergeCell ref="I191:R191"/>
    <mergeCell ref="B200:S200"/>
    <mergeCell ref="B201:S201"/>
    <mergeCell ref="D202:R202"/>
    <mergeCell ref="S202:T202"/>
    <mergeCell ref="I203:R203"/>
    <mergeCell ref="B212:S212"/>
    <mergeCell ref="B213:T213"/>
    <mergeCell ref="D214:R214"/>
    <mergeCell ref="S214:T214"/>
    <mergeCell ref="I215:R215"/>
    <mergeCell ref="B224:S224"/>
    <mergeCell ref="I287:R287"/>
    <mergeCell ref="B296:S296"/>
    <mergeCell ref="B297:S297"/>
    <mergeCell ref="D298:R298"/>
    <mergeCell ref="S298:T298"/>
    <mergeCell ref="I299:R299"/>
    <mergeCell ref="B308:S308"/>
  </mergeCells>
  <conditionalFormatting sqref="B5:T11">
    <cfRule type="expression" dxfId="3" priority="1">
      <formula>$C$5=TRUE()</formula>
    </cfRule>
  </conditionalFormatting>
  <conditionalFormatting sqref="B13:T20">
    <cfRule type="expression" dxfId="3" priority="2">
      <formula>$C$13=TRUE()</formula>
    </cfRule>
  </conditionalFormatting>
  <conditionalFormatting sqref="C19 B22:T32">
    <cfRule type="expression" dxfId="3" priority="3">
      <formula>$C$22=TRUE()</formula>
    </cfRule>
  </conditionalFormatting>
  <conditionalFormatting sqref="B34:T44">
    <cfRule type="expression" dxfId="3" priority="4">
      <formula>$C$34=TRUE()</formula>
    </cfRule>
  </conditionalFormatting>
  <conditionalFormatting sqref="B46:T56">
    <cfRule type="expression" dxfId="3" priority="5">
      <formula>$C$46=TRUE()</formula>
    </cfRule>
  </conditionalFormatting>
  <conditionalFormatting sqref="B70:T80">
    <cfRule type="expression" dxfId="3" priority="6">
      <formula>$C$70=TRUE()</formula>
    </cfRule>
  </conditionalFormatting>
  <conditionalFormatting sqref="B82:T92">
    <cfRule type="expression" dxfId="3" priority="7">
      <formula>$C$82=TRUE()</formula>
    </cfRule>
  </conditionalFormatting>
  <conditionalFormatting sqref="B94:T104">
    <cfRule type="expression" dxfId="3" priority="8">
      <formula>$C$94=TRUE()</formula>
    </cfRule>
  </conditionalFormatting>
  <conditionalFormatting sqref="B106:T116">
    <cfRule type="expression" dxfId="3" priority="9">
      <formula>$C$106=TRUE()</formula>
    </cfRule>
  </conditionalFormatting>
  <conditionalFormatting sqref="B118:T128">
    <cfRule type="expression" dxfId="3" priority="10">
      <formula>$C$118=TRUE()</formula>
    </cfRule>
  </conditionalFormatting>
  <conditionalFormatting sqref="B130:T140 B168:F169">
    <cfRule type="expression" dxfId="3" priority="11">
      <formula>$C$130=TRUE()</formula>
    </cfRule>
  </conditionalFormatting>
  <conditionalFormatting sqref="B142:T152 B180:S183">
    <cfRule type="expression" dxfId="3" priority="12">
      <formula>$C$142=TRUE()</formula>
    </cfRule>
  </conditionalFormatting>
  <conditionalFormatting sqref="B154:T164">
    <cfRule type="expression" dxfId="3" priority="13">
      <formula>$C$154=TRUE()</formula>
    </cfRule>
  </conditionalFormatting>
  <conditionalFormatting sqref="B166:T176">
    <cfRule type="expression" dxfId="3" priority="14">
      <formula>$C$166=TRUE()</formula>
    </cfRule>
  </conditionalFormatting>
  <conditionalFormatting sqref="B178:T188">
    <cfRule type="expression" dxfId="3" priority="15">
      <formula>$C$178=TRUE()</formula>
    </cfRule>
  </conditionalFormatting>
  <conditionalFormatting sqref="B190:T200">
    <cfRule type="expression" dxfId="3" priority="16">
      <formula>$C$190=TRUE()</formula>
    </cfRule>
  </conditionalFormatting>
  <conditionalFormatting sqref="B202:T212">
    <cfRule type="expression" dxfId="3" priority="17">
      <formula>$C$202=TRUE()</formula>
    </cfRule>
  </conditionalFormatting>
  <conditionalFormatting sqref="B214:T224 B324:R327">
    <cfRule type="expression" dxfId="3" priority="18">
      <formula>$C$214=TRUE()</formula>
    </cfRule>
  </conditionalFormatting>
  <conditionalFormatting sqref="B226:T236">
    <cfRule type="expression" dxfId="3" priority="19">
      <formula>$C$226=TRUE()</formula>
    </cfRule>
  </conditionalFormatting>
  <conditionalFormatting sqref="B238:T248 S250 S262">
    <cfRule type="expression" dxfId="3" priority="20">
      <formula>$C$238=TRUE()</formula>
    </cfRule>
  </conditionalFormatting>
  <conditionalFormatting sqref="B250:T260 S262">
    <cfRule type="expression" dxfId="3" priority="21">
      <formula>$C$250=TRUE()</formula>
    </cfRule>
  </conditionalFormatting>
  <conditionalFormatting sqref="B262:T272">
    <cfRule type="expression" dxfId="3" priority="22">
      <formula>$C$262=TRUE()</formula>
    </cfRule>
  </conditionalFormatting>
  <conditionalFormatting sqref="B274:T284">
    <cfRule type="expression" dxfId="3" priority="23">
      <formula>$C$274=TRUE()</formula>
    </cfRule>
  </conditionalFormatting>
  <conditionalFormatting sqref="B286:T296">
    <cfRule type="expression" dxfId="3" priority="24">
      <formula>$C$286=TRUE()</formula>
    </cfRule>
  </conditionalFormatting>
  <conditionalFormatting sqref="B298:T308">
    <cfRule type="expression" dxfId="3" priority="25">
      <formula>$C$298=TRUE()</formula>
    </cfRule>
  </conditionalFormatting>
  <conditionalFormatting sqref="B310:T320">
    <cfRule type="expression" dxfId="3" priority="26">
      <formula>$C$310=TRUE()</formula>
    </cfRule>
  </conditionalFormatting>
  <conditionalFormatting sqref="B322:T332">
    <cfRule type="expression" dxfId="3" priority="27">
      <formula>$C$322=TRUE()</formula>
    </cfRule>
  </conditionalFormatting>
  <conditionalFormatting sqref="B334:T344">
    <cfRule type="expression" dxfId="3" priority="28">
      <formula>$C$334=TRUE()</formula>
    </cfRule>
  </conditionalFormatting>
  <conditionalFormatting sqref="B346:T356">
    <cfRule type="expression" dxfId="3" priority="29">
      <formula>$C$346=TRUE()</formula>
    </cfRule>
  </conditionalFormatting>
  <conditionalFormatting sqref="B58:T68">
    <cfRule type="expression" dxfId="3" priority="30">
      <formula>$C$58=TRUE()</formula>
    </cfRule>
  </conditionalFormatting>
  <conditionalFormatting sqref="I7:I10 I15:I19 I24:I31 I36:I43 I48:I55 I60:I67 I72:I79 J74:L74 I84:I91 J86:K86 J88:K89 I96:I103 J96:L98 I108:I115 I120:I127 I132:I139 I144:I151 J146:L147 I156:I163 J157:L157 I168:I175 J168:L169 I180:I187 J180:L180 J182:L183 I192:I199 J193:L193 I204:I211 I216:I223 I228:I235 I240:I247 I252:I259 J252:L252 I264:I271 I276:I283 I288:I295 I300:I307 I312:I319 I324:I331 J326:L326 I336:I343 I348:I355">
    <cfRule type="expression" dxfId="4" priority="31">
      <formula>$E7=1</formula>
    </cfRule>
  </conditionalFormatting>
  <conditionalFormatting sqref="I7:J10 I15:J19 I24:J31 I36:J43 I48:J55 I60:J67 I72:J79 K74:L74 I84:J91 K86 K88:K89 I96:J103 K96:L98 I108:J115 I120:J127 I132:J139 I144:J151 K146:L147 I156:J163 K157:L157 I168:J175 K168:L169 I180:J187 K180:L180 K182:L183 I192:J199 K193:L193 I204:J211 I216:J223 I228:J235 I240:J247 I252:J259 K252:L252 I264:J271 I276:J283 I288:J295 I300:J307 I312:J319 I324:J331 K326:L326 I336:J343 I348:J355 K348:L348">
    <cfRule type="expression" dxfId="4" priority="32">
      <formula>$E7=2</formula>
    </cfRule>
  </conditionalFormatting>
  <conditionalFormatting sqref="I7:K10 I15:K19 I24:K31 I36:K43 I48:K55 I60:K67 I72:K79 L74 I84:K91 I96:K103 L96:L98 I108:K115 I120:K127 I132:K139 I144:K151 L144 L146:L147 I156:K163 L157 I168:K175 L168:L169 I180:K187 L180 L182:L183 I192:K199 L193 I204:K211 I216:K223 I228:K235 I240:K247 I252:K259 L252 I264:K271 I276:K283 I288:K295 I300:K307 I312:K319 I324:K331 L326 I336:K343 I348:K355 L348">
    <cfRule type="expression" dxfId="4" priority="33">
      <formula>$E7=3</formula>
    </cfRule>
  </conditionalFormatting>
  <conditionalFormatting sqref="I7:L10 I15:L19 I24:L31 I36:L43 I48:L55 I60:L67 I72:L79 I84:L91 I96:L103 I108:L115 I120:L127 I132:L139 I144:L151 I156:L163 I168:L175 I180:L187 I192:L199 I204:L211 I216:L223 I228:L235 I240:L247 I252:L259 I264:L271 I276:L283 I288:L295 I300:L307 I312:L319 I324:L331 I336:L343 I348:L355">
    <cfRule type="expression" dxfId="4" priority="34">
      <formula>$E7=4</formula>
    </cfRule>
  </conditionalFormatting>
  <conditionalFormatting sqref="I7:M10 I15:M19 I24:M31 I36:M43 I48:M55 I60:M67 I72:M79 I84:M91 I96:M103 I108:M115 I120:M127 I132:M139 I144:M151 I156:M163 I168:M175 I180:M187 I192:M199 I204:M211 I216:M223 I228:M235 I240:M247 I252:M259 I264:M271 I276:M283 I288:M295 I300:M307 I312:M319 I324:M331 I336:M343 I348:M355">
    <cfRule type="expression" dxfId="4" priority="35">
      <formula>$E7=5</formula>
    </cfRule>
  </conditionalFormatting>
  <conditionalFormatting sqref="I7:N10 I15:N19 I24:N31 I36:N43 I48:N55 I60:N67 I72:N79 I84:N91 I96:N103 I108:N115 I120:N127 I132:N139 I144:N151 I156:N163 I168:N175 I180:N187 I192:N199 I204:N211 I216:N223 I228:N235 I240:N247 I252:N259 I264:N271 I276:N283 I288:N295 I300:N307 I312:N319 I324:N331 I336:N343 I348:N355">
    <cfRule type="expression" dxfId="4" priority="36">
      <formula>$E7=6</formula>
    </cfRule>
  </conditionalFormatting>
  <conditionalFormatting sqref="I7:O10 I15:O19 I24:O31 I36:O43 I48:O55 I60:O67 I72:O79 I84:O91 I96:O103 I108:O115 I120:O127 I132:O139 I144:O151 I156:O163 I168:O175 I180:O187 I192:O199 I204:O211 I216:O223 I228:O235 I240:O247 I252:O259 I264:O271 I276:O283 I288:O295 I300:O307 I312:O319 I324:O331 I336:O343 I348:O355">
    <cfRule type="expression" dxfId="4" priority="37">
      <formula>$E7=7</formula>
    </cfRule>
  </conditionalFormatting>
  <conditionalFormatting sqref="I7:P10 I15:P19 I24:P31 I36:P43 I48:P55 I60:P67 I72:P79 I84:P91 I96:P103 I108:P115 I120:P127 I132:P139 I144:P151 I156:P163 I168:P175 I180:P187 I192:P199 I204:P211 I216:P223 I228:P235 I240:P247 I252:P259 I264:P271 I276:P283 I288:P295 I300:P307 I312:P319 I324:P331 I336:P343 I348:P355">
    <cfRule type="expression" dxfId="4" priority="38">
      <formula>$E7=8</formula>
    </cfRule>
  </conditionalFormatting>
  <conditionalFormatting sqref="I7:Q10 I15:Q19 I24:Q31 I36:Q43 I48:Q55 I60:Q67 I72:Q79 I84:Q91 I96:Q103 I108:Q115 I120:Q127 I132:Q139 I144:Q151 I156:Q163 I168:Q175 I180:Q187 I192:Q199 I204:Q211 I216:Q223 I228:Q235 I240:Q247 I252:Q259 I264:Q271 I276:Q283 I288:Q295 I300:Q307 I312:Q319 I324:Q331 I336:Q343 I348:Q355">
    <cfRule type="expression" dxfId="4" priority="39">
      <formula>$E7=9</formula>
    </cfRule>
  </conditionalFormatting>
  <conditionalFormatting sqref="I7:R10 I15:R19 I24:R31 I36:R43 I48:R55 I60:R67 I72:R79 I84:R91 I96:R103 I108:R115 I120:R127 I132:R139 I144:R151 I156:R163 I168:R175 I180:R187 I192:R199 I204:R211 I216:R223 I228:R235 I240:R247 I252:R259 I264:R271 I276:R283 I288:R295 I300:R307 I312:R319 I324:R331 I336:R343 I348:R355">
    <cfRule type="expression" dxfId="4" priority="40">
      <formula>$E7=10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5" priority="41">
      <formula>$B7="A"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6" priority="42">
      <formula>$B7="B"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5" priority="43">
      <formula>$B7="C"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6" priority="44">
      <formula>$B7="D"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5" priority="45">
      <formula>$B7="E"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6" priority="46">
      <formula>$B7="F"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6" priority="47">
      <formula>$B7="F"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5" priority="48">
      <formula>$B7="G"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6" priority="49">
      <formula>$B7="H"</formula>
    </cfRule>
  </conditionalFormatting>
  <conditionalFormatting sqref="B7:T10 B15:T19 B24:T31 B36:T43 B48:T55 B60:T67 B72:T79 B84:T91 B96:T103 B108:T115 B120:T127 B132:T139 B144:T151 B156:T163 B168:T175 B180:T187 B192:T199 B204:U211 B216:T223 B228:T235 B240:T247 B252:T259 B264:T271 B276:T283 B288:T295 B300:T307 B312:T319 B324:T331 B336:T343 B348:T355">
    <cfRule type="expression" dxfId="5" priority="50">
      <formula>$B7="I"</formula>
    </cfRule>
  </conditionalFormatting>
  <conditionalFormatting sqref="B12:T12">
    <cfRule type="expression" dxfId="7" priority="51">
      <formula>$C$5=TRUE()</formula>
    </cfRule>
  </conditionalFormatting>
  <dataValidations>
    <dataValidation type="list" allowBlank="1" showErrorMessage="1" sqref="E7:E10 E15:E19 E24:E31 E36:E43 E48:E55 E60:E67 E72:E79 E84:E91 E96:E103 E108:E115 E120:E127 E132:E139 E144:E151 E156:E163 E168:E175 E180:E187 E192:E199 E204:E211 E216:E223 E228:E235 E240:E247 E252:E259 E264:E271 E276:E283 E288:E295 E300:E307 E312:E319 E325:E331 E336:E343 E348:E355">
      <formula1>DATA!$A$3:$A$15</formula1>
    </dataValidation>
    <dataValidation type="list" allowBlank="1" showErrorMessage="1" sqref="I6 I14 I23 I35 I47 I59 I71 I83 I95 I107 I119 I131 I143 I155 I167 I179 I191 I203 I215 I227 I239 I251 I263 I275 I287 I299 I311 I323:I324 I335 I347">
      <formula1>"Weight (Lbs),Weight (Kg)"</formula1>
    </dataValidation>
    <dataValidation type="list" allowBlank="1" sqref="G7">
      <formula1>DATA!$E$3:$E$1300</formula1>
    </dataValidation>
    <dataValidation type="list" allowBlank="1" sqref="D7:D10 D15:D19 D24:D31 D36:D43 D48:D55 D60:D67 D72:D79 D84:D91 D96:D103 D108:D115 D120:D127 D132:D139 D144:D151 D156:D163 D168:D175 D180:D187 D192:D199 D204:D211 D216:D223 D228:D235 D240:D247 D252:D259 D264:D271 D276:D283 D288:D295 D300:D307 D312:D319 D325:D331 D336:D343 D348:D355">
      <formula1>DATA!$H$3:$H1357</formula1>
    </dataValidation>
    <dataValidation type="list" allowBlank="1" showInputMessage="1" showErrorMessage="1" prompt="hello" sqref="G8:G10 G15:G19 G24:G31 G36:G43 G48:G55 G60:G67 G72:G79 G84:G91 G96:G103 G108:G115 G120:G127 G132:G139 G144:G151 G156:G163 G168:G175 G180:G187 G192:G199 G204:G211 G216:G223 G228:G235 G240:G247 G252:G259 G264:G271 G276:G283 G288:G295 G300:G307 G312:G319 G325:G331 G336:G343 G348:G355">
      <formula1>DATA!$E$3:$E$22</formula1>
    </dataValidation>
    <dataValidation type="list" allowBlank="1" showErrorMessage="1" sqref="B6 B14 B23 B35 B47 B59 B71 B83 B95 B107 B119 B131 B143 B155 B167 B179 B191 B203 B215 B227 B239 B251 B263 B275 B287 B299 B311 B323:B324 B335 B347">
      <formula1>DATA!$F$3:$F$22</formula1>
    </dataValidation>
    <dataValidation type="list" allowBlank="1" showErrorMessage="1" sqref="B7:B10 B15:B19 B24:B31 B36:B43 B48:B55 B60:B67 B72:B79 B84:B91 B96:B103 B108:B115 B120:B127 B132:B139 B144:B151 B156:B163 B168:B175 B180:B187 B192:B199 B204:B211 B216:B223 B228:B235 B240:B247 B252:B259 B264:B271 B276:B283 B288:B295 B300:B307 B312:B319 B325:B331 B336:B343 B348:B355">
      <formula1>DATA!$D$3:$D$11</formula1>
    </dataValidation>
    <dataValidation type="list" allowBlank="1" showErrorMessage="1" sqref="H7:H10 H15:H19 H24:H31 H36:H43 H48:H55 H60:H67 H72:H79 H84:H91 H96:H103 H108:H115 H120:H127 H132:H139 H144:H151 H156:H163 H168:H175 H180:H187 H192:H199 H204:H211 H216:H223 H228:H235 H240:H247 H252:H259 H264:H271 H276:H283 H288:H295 H300:H307 H312:H319 H325:H331 H336:H343 H348:H355">
      <formula1>DATA!$C$3:$C$15</formula1>
    </dataValidation>
  </dataValidations>
  <hyperlinks>
    <hyperlink display="WEEK 1" location="Week1" ref="D3"/>
    <hyperlink display="WEEK 2" location="Week2" ref="F3"/>
    <hyperlink display="WEEK 3" location="Week3" ref="H3"/>
    <hyperlink display="WEEK 4" location="Week4" ref="K3"/>
    <hyperlink display="WEEK 5" location="Week5" ref="O3"/>
  </hyperlinks>
  <drawing r:id="rId4"/>
  <legacyDrawing r:id="rId5"/>
  <tableParts count="29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0"/>
    <col customWidth="1" min="2" max="7" width="13.88"/>
    <col customWidth="1" min="8" max="8" width="2.0"/>
  </cols>
  <sheetData>
    <row r="1" ht="29.25" customHeight="1">
      <c r="A1" s="101"/>
      <c r="B1" s="102" t="s">
        <v>127</v>
      </c>
      <c r="C1" s="103"/>
      <c r="D1" s="103"/>
      <c r="E1" s="103"/>
      <c r="F1" s="103"/>
      <c r="G1" s="104"/>
      <c r="H1" s="101"/>
    </row>
    <row r="2" ht="29.25" customHeight="1">
      <c r="A2" s="105"/>
      <c r="B2" s="106" t="s">
        <v>128</v>
      </c>
      <c r="C2" s="107"/>
      <c r="D2" s="108"/>
      <c r="E2" s="106" t="str">
        <f>SUM(G4:G15)</f>
        <v>#REF!</v>
      </c>
      <c r="F2" s="107"/>
      <c r="G2" s="108"/>
      <c r="H2" s="105"/>
    </row>
    <row r="3" ht="24.75" customHeight="1">
      <c r="A3" s="109"/>
      <c r="B3" s="110"/>
      <c r="C3" s="111" t="s">
        <v>129</v>
      </c>
      <c r="D3" s="111" t="s">
        <v>130</v>
      </c>
      <c r="E3" s="111" t="s">
        <v>131</v>
      </c>
      <c r="F3" s="111" t="s">
        <v>132</v>
      </c>
      <c r="G3" s="112" t="s">
        <v>133</v>
      </c>
      <c r="H3" s="113"/>
    </row>
    <row r="4" ht="22.5" customHeight="1">
      <c r="A4" s="114"/>
      <c r="B4" s="115" t="s">
        <v>134</v>
      </c>
      <c r="C4" s="116">
        <v>0.0</v>
      </c>
      <c r="D4" s="117">
        <v>0.0</v>
      </c>
      <c r="E4" s="116">
        <v>0.0</v>
      </c>
      <c r="F4" s="116">
        <v>0.0</v>
      </c>
      <c r="G4" s="118" t="str">
        <f>#REF!</f>
        <v>#REF!</v>
      </c>
      <c r="H4" s="119"/>
    </row>
    <row r="5" ht="22.5" customHeight="1">
      <c r="A5" s="120"/>
      <c r="B5" s="115" t="s">
        <v>135</v>
      </c>
      <c r="C5" s="116">
        <v>0.0</v>
      </c>
      <c r="D5" s="117">
        <v>0.0</v>
      </c>
      <c r="E5" s="116">
        <v>0.0</v>
      </c>
      <c r="F5" s="116">
        <v>0.0</v>
      </c>
      <c r="G5" s="118" t="str">
        <f>Feb!T3</f>
        <v>#REF!</v>
      </c>
      <c r="H5" s="121"/>
    </row>
    <row r="6" ht="22.5" customHeight="1">
      <c r="A6" s="120"/>
      <c r="B6" s="115" t="s">
        <v>136</v>
      </c>
      <c r="C6" s="116">
        <v>0.0</v>
      </c>
      <c r="D6" s="117">
        <v>0.0</v>
      </c>
      <c r="E6" s="116">
        <v>0.0</v>
      </c>
      <c r="F6" s="116">
        <v>0.0</v>
      </c>
      <c r="G6" s="118" t="str">
        <f>Mar!T3</f>
        <v>#REF!</v>
      </c>
      <c r="H6" s="122"/>
    </row>
    <row r="7" ht="22.5" customHeight="1">
      <c r="A7" s="120"/>
      <c r="B7" s="115" t="s">
        <v>137</v>
      </c>
      <c r="C7" s="116">
        <v>0.0</v>
      </c>
      <c r="D7" s="117">
        <v>0.0</v>
      </c>
      <c r="E7" s="116">
        <v>0.0</v>
      </c>
      <c r="F7" s="116">
        <v>0.0</v>
      </c>
      <c r="G7" s="118" t="str">
        <f>Apr!T3</f>
        <v>#REF!</v>
      </c>
      <c r="H7" s="122"/>
    </row>
    <row r="8" ht="22.5" customHeight="1">
      <c r="A8" s="120"/>
      <c r="B8" s="115" t="s">
        <v>138</v>
      </c>
      <c r="C8" s="116">
        <v>0.0</v>
      </c>
      <c r="D8" s="117">
        <v>0.0</v>
      </c>
      <c r="E8" s="116">
        <v>0.0</v>
      </c>
      <c r="F8" s="116">
        <v>0.0</v>
      </c>
      <c r="G8" s="118" t="str">
        <f>May!T3</f>
        <v>#REF!</v>
      </c>
      <c r="H8" s="122"/>
    </row>
    <row r="9" ht="22.5" customHeight="1">
      <c r="A9" s="120"/>
      <c r="B9" s="115" t="s">
        <v>139</v>
      </c>
      <c r="C9" s="116">
        <v>0.0</v>
      </c>
      <c r="D9" s="117">
        <v>0.0</v>
      </c>
      <c r="E9" s="116">
        <v>0.0</v>
      </c>
      <c r="F9" s="116">
        <v>0.0</v>
      </c>
      <c r="G9" s="118" t="str">
        <f>Jun!T3</f>
        <v>#REF!</v>
      </c>
      <c r="H9" s="122"/>
    </row>
    <row r="10" ht="22.5" customHeight="1">
      <c r="A10" s="120"/>
      <c r="B10" s="115" t="s">
        <v>140</v>
      </c>
      <c r="C10" s="116">
        <v>0.0</v>
      </c>
      <c r="D10" s="117">
        <v>0.0</v>
      </c>
      <c r="E10" s="116">
        <v>0.0</v>
      </c>
      <c r="F10" s="116">
        <v>0.0</v>
      </c>
      <c r="G10" s="118" t="str">
        <f>Jul!T3</f>
        <v>#REF!</v>
      </c>
      <c r="H10" s="122"/>
    </row>
    <row r="11" ht="22.5" customHeight="1">
      <c r="A11" s="120"/>
      <c r="B11" s="115" t="s">
        <v>141</v>
      </c>
      <c r="C11" s="116">
        <v>0.0</v>
      </c>
      <c r="D11" s="117">
        <v>0.0</v>
      </c>
      <c r="E11" s="116">
        <v>0.0</v>
      </c>
      <c r="F11" s="116">
        <v>0.0</v>
      </c>
      <c r="G11" s="118" t="str">
        <f>Aug!T3</f>
        <v>#REF!</v>
      </c>
      <c r="H11" s="122"/>
    </row>
    <row r="12" ht="22.5" customHeight="1">
      <c r="A12" s="120"/>
      <c r="B12" s="115" t="s">
        <v>142</v>
      </c>
      <c r="C12" s="116">
        <v>0.0</v>
      </c>
      <c r="D12" s="117">
        <v>0.0</v>
      </c>
      <c r="E12" s="116">
        <v>0.0</v>
      </c>
      <c r="F12" s="116">
        <v>0.0</v>
      </c>
      <c r="G12" s="118" t="str">
        <f>Sep!T3</f>
        <v>#REF!</v>
      </c>
      <c r="H12" s="122"/>
    </row>
    <row r="13" ht="22.5" customHeight="1">
      <c r="A13" s="120"/>
      <c r="B13" s="115" t="s">
        <v>143</v>
      </c>
      <c r="C13" s="116">
        <v>0.0</v>
      </c>
      <c r="D13" s="117">
        <v>0.0</v>
      </c>
      <c r="E13" s="116">
        <v>0.0</v>
      </c>
      <c r="F13" s="116">
        <v>0.0</v>
      </c>
      <c r="G13" s="118" t="str">
        <f>Oct!T3</f>
        <v>#REF!</v>
      </c>
      <c r="H13" s="122"/>
    </row>
    <row r="14" ht="22.5" customHeight="1">
      <c r="A14" s="120"/>
      <c r="B14" s="115" t="s">
        <v>144</v>
      </c>
      <c r="C14" s="116">
        <v>0.0</v>
      </c>
      <c r="D14" s="117">
        <v>0.0</v>
      </c>
      <c r="E14" s="116">
        <v>0.0</v>
      </c>
      <c r="F14" s="116">
        <v>0.0</v>
      </c>
      <c r="G14" s="118" t="str">
        <f>Nov!T3</f>
        <v>#REF!</v>
      </c>
      <c r="H14" s="122"/>
    </row>
    <row r="15" ht="22.5" customHeight="1">
      <c r="A15" s="120"/>
      <c r="B15" s="123" t="s">
        <v>145</v>
      </c>
      <c r="C15" s="124">
        <v>0.0</v>
      </c>
      <c r="D15" s="125">
        <v>0.0</v>
      </c>
      <c r="E15" s="124">
        <v>0.0</v>
      </c>
      <c r="F15" s="124">
        <v>0.0</v>
      </c>
      <c r="G15" s="126" t="str">
        <f>Dec!T3</f>
        <v>#REF!</v>
      </c>
      <c r="H15" s="122"/>
    </row>
    <row r="16" ht="11.25" customHeight="1">
      <c r="A16" s="127"/>
      <c r="B16" s="128"/>
      <c r="G16" s="129"/>
      <c r="H16" s="130"/>
    </row>
    <row r="17" ht="11.25" customHeight="1">
      <c r="A17" s="131"/>
      <c r="B17" s="107"/>
      <c r="C17" s="107"/>
      <c r="D17" s="107"/>
      <c r="E17" s="107"/>
      <c r="F17" s="107"/>
      <c r="G17" s="107"/>
      <c r="H17" s="108"/>
    </row>
    <row r="18" ht="22.5" customHeight="1">
      <c r="A18" s="131"/>
      <c r="B18" s="107"/>
      <c r="C18" s="107"/>
      <c r="D18" s="107"/>
      <c r="E18" s="107"/>
      <c r="F18" s="107"/>
      <c r="G18" s="107"/>
      <c r="H18" s="108"/>
    </row>
    <row r="19" ht="22.5" customHeight="1">
      <c r="A19" s="132"/>
      <c r="H19" s="129"/>
    </row>
    <row r="20" ht="22.5" customHeight="1">
      <c r="A20" s="132"/>
      <c r="H20" s="129"/>
    </row>
    <row r="21" ht="22.5" customHeight="1">
      <c r="A21" s="132"/>
      <c r="H21" s="129"/>
    </row>
    <row r="22" ht="22.5" customHeight="1">
      <c r="A22" s="132"/>
      <c r="H22" s="129"/>
    </row>
    <row r="23" ht="22.5" customHeight="1">
      <c r="A23" s="132"/>
      <c r="H23" s="129"/>
    </row>
    <row r="24" ht="22.5" customHeight="1">
      <c r="A24" s="132"/>
      <c r="H24" s="129"/>
    </row>
    <row r="25" ht="22.5" customHeight="1">
      <c r="A25" s="132"/>
      <c r="H25" s="129"/>
    </row>
    <row r="26" ht="22.5" customHeight="1">
      <c r="A26" s="132"/>
      <c r="H26" s="129"/>
    </row>
    <row r="27" ht="22.5" customHeight="1">
      <c r="A27" s="132"/>
      <c r="H27" s="129"/>
    </row>
    <row r="28" ht="22.5" customHeight="1">
      <c r="A28" s="132"/>
      <c r="H28" s="129"/>
    </row>
    <row r="29" ht="22.5" customHeight="1">
      <c r="A29" s="132"/>
      <c r="H29" s="129"/>
    </row>
    <row r="30" ht="22.5" customHeight="1">
      <c r="A30" s="132"/>
      <c r="H30" s="129"/>
    </row>
    <row r="31" ht="22.5" customHeight="1">
      <c r="A31" s="132"/>
      <c r="H31" s="129"/>
    </row>
    <row r="32" ht="22.5" customHeight="1">
      <c r="A32" s="132"/>
      <c r="H32" s="129"/>
    </row>
    <row r="33" ht="22.5" customHeight="1">
      <c r="A33" s="132"/>
      <c r="H33" s="129"/>
    </row>
    <row r="34" ht="22.5" customHeight="1">
      <c r="A34" s="132"/>
      <c r="H34" s="129"/>
    </row>
    <row r="35" ht="22.5" customHeight="1">
      <c r="A35" s="132"/>
      <c r="H35" s="129"/>
    </row>
    <row r="36" ht="22.5" customHeight="1">
      <c r="A36" s="132"/>
      <c r="H36" s="129"/>
    </row>
    <row r="37" ht="22.5" customHeight="1">
      <c r="A37" s="132"/>
      <c r="H37" s="129"/>
    </row>
    <row r="38" ht="22.5" customHeight="1">
      <c r="A38" s="132"/>
      <c r="H38" s="129"/>
    </row>
    <row r="39" ht="22.5" customHeight="1">
      <c r="A39" s="132"/>
      <c r="H39" s="129"/>
    </row>
    <row r="40" ht="22.5" customHeight="1">
      <c r="A40" s="132"/>
      <c r="H40" s="129"/>
    </row>
    <row r="41" ht="22.5" customHeight="1">
      <c r="A41" s="132"/>
      <c r="H41" s="129"/>
    </row>
    <row r="42" ht="22.5" customHeight="1">
      <c r="A42" s="132"/>
      <c r="H42" s="129"/>
    </row>
    <row r="43" ht="22.5" customHeight="1">
      <c r="A43" s="132"/>
      <c r="H43" s="129"/>
    </row>
    <row r="44" ht="22.5" customHeight="1">
      <c r="A44" s="132"/>
      <c r="H44" s="129"/>
    </row>
    <row r="45" ht="22.5" customHeight="1">
      <c r="A45" s="132"/>
      <c r="H45" s="129"/>
    </row>
    <row r="46" ht="22.5" customHeight="1">
      <c r="A46" s="132"/>
      <c r="H46" s="129"/>
    </row>
    <row r="47" ht="22.5" customHeight="1">
      <c r="A47" s="132"/>
      <c r="H47" s="129"/>
    </row>
    <row r="48" ht="22.5" customHeight="1">
      <c r="A48" s="132"/>
      <c r="H48" s="129"/>
    </row>
    <row r="49" ht="22.5" customHeight="1">
      <c r="A49" s="132"/>
      <c r="H49" s="129"/>
    </row>
    <row r="50" ht="22.5" customHeight="1">
      <c r="A50" s="132"/>
      <c r="H50" s="129"/>
    </row>
    <row r="51" ht="22.5" customHeight="1">
      <c r="A51" s="132"/>
      <c r="H51" s="129"/>
    </row>
    <row r="52" ht="22.5" customHeight="1">
      <c r="A52" s="132"/>
      <c r="H52" s="129"/>
    </row>
    <row r="53" ht="22.5" customHeight="1">
      <c r="A53" s="132"/>
      <c r="H53" s="129"/>
    </row>
    <row r="54" ht="22.5" customHeight="1">
      <c r="A54" s="132"/>
      <c r="H54" s="129"/>
    </row>
    <row r="55" ht="22.5" customHeight="1">
      <c r="A55" s="132"/>
      <c r="H55" s="129"/>
    </row>
    <row r="56" ht="22.5" customHeight="1">
      <c r="A56" s="132"/>
      <c r="H56" s="129"/>
    </row>
    <row r="57" ht="22.5" customHeight="1">
      <c r="A57" s="132"/>
      <c r="H57" s="129"/>
    </row>
    <row r="58" ht="22.5" customHeight="1">
      <c r="A58" s="132"/>
      <c r="H58" s="129"/>
    </row>
    <row r="59" ht="22.5" customHeight="1">
      <c r="A59" s="132"/>
      <c r="H59" s="129"/>
    </row>
    <row r="60" ht="22.5" customHeight="1">
      <c r="A60" s="132"/>
      <c r="H60" s="129"/>
    </row>
    <row r="61" ht="22.5" customHeight="1">
      <c r="A61" s="132"/>
      <c r="H61" s="129"/>
    </row>
    <row r="62" ht="22.5" customHeight="1">
      <c r="A62" s="133"/>
      <c r="B62" s="134"/>
      <c r="C62" s="134"/>
      <c r="D62" s="134"/>
      <c r="E62" s="134"/>
      <c r="F62" s="134"/>
      <c r="G62" s="134"/>
      <c r="H62" s="135"/>
    </row>
    <row r="63" ht="22.5" customHeight="1">
      <c r="A63" s="136"/>
      <c r="B63" s="137" t="s">
        <v>146</v>
      </c>
      <c r="C63" s="107"/>
      <c r="D63" s="107"/>
      <c r="E63" s="107"/>
      <c r="F63" s="107"/>
      <c r="G63" s="108"/>
      <c r="H63" s="136"/>
    </row>
    <row r="64" ht="22.5" customHeight="1">
      <c r="A64" s="138"/>
      <c r="B64" s="132"/>
      <c r="G64" s="129"/>
      <c r="H64" s="138"/>
    </row>
    <row r="65" ht="22.5" customHeight="1">
      <c r="A65" s="138"/>
      <c r="B65" s="132"/>
      <c r="G65" s="129"/>
      <c r="H65" s="138"/>
    </row>
    <row r="66" ht="22.5" customHeight="1">
      <c r="A66" s="138"/>
      <c r="B66" s="132"/>
      <c r="G66" s="129"/>
      <c r="H66" s="138"/>
    </row>
    <row r="67" ht="22.5" customHeight="1">
      <c r="A67" s="138"/>
      <c r="B67" s="132"/>
      <c r="G67" s="129"/>
      <c r="H67" s="138"/>
    </row>
    <row r="68" ht="22.5" customHeight="1">
      <c r="A68" s="138"/>
      <c r="B68" s="132"/>
      <c r="G68" s="129"/>
      <c r="H68" s="138"/>
    </row>
    <row r="69" ht="22.5" customHeight="1">
      <c r="A69" s="138"/>
      <c r="B69" s="132"/>
      <c r="G69" s="129"/>
      <c r="H69" s="138"/>
    </row>
    <row r="70" ht="22.5" customHeight="1">
      <c r="A70" s="138"/>
      <c r="B70" s="132"/>
      <c r="G70" s="129"/>
      <c r="H70" s="138"/>
    </row>
    <row r="71" ht="22.5" customHeight="1">
      <c r="A71" s="138"/>
      <c r="B71" s="132"/>
      <c r="G71" s="129"/>
      <c r="H71" s="138"/>
    </row>
    <row r="72" ht="22.5" customHeight="1">
      <c r="A72" s="138"/>
      <c r="B72" s="132"/>
      <c r="G72" s="129"/>
      <c r="H72" s="138"/>
    </row>
    <row r="73" ht="22.5" customHeight="1">
      <c r="A73" s="138"/>
      <c r="B73" s="132"/>
      <c r="G73" s="129"/>
      <c r="H73" s="138"/>
    </row>
    <row r="74" ht="22.5" customHeight="1">
      <c r="A74" s="138"/>
      <c r="B74" s="132"/>
      <c r="G74" s="129"/>
      <c r="H74" s="138"/>
    </row>
    <row r="75" ht="22.5" customHeight="1">
      <c r="A75" s="138"/>
      <c r="B75" s="132"/>
      <c r="G75" s="129"/>
      <c r="H75" s="138"/>
    </row>
    <row r="76" ht="22.5" customHeight="1">
      <c r="A76" s="138"/>
      <c r="B76" s="132"/>
      <c r="G76" s="129"/>
      <c r="H76" s="138"/>
    </row>
    <row r="77" ht="22.5" customHeight="1">
      <c r="A77" s="138"/>
      <c r="B77" s="132"/>
      <c r="G77" s="129"/>
      <c r="H77" s="138"/>
    </row>
    <row r="78" ht="22.5" customHeight="1">
      <c r="A78" s="138"/>
      <c r="B78" s="132"/>
      <c r="G78" s="129"/>
      <c r="H78" s="138"/>
    </row>
    <row r="79" ht="22.5" customHeight="1">
      <c r="A79" s="138"/>
      <c r="B79" s="132"/>
      <c r="G79" s="129"/>
      <c r="H79" s="138"/>
    </row>
    <row r="80" ht="22.5" customHeight="1">
      <c r="A80" s="138"/>
      <c r="B80" s="132"/>
      <c r="G80" s="129"/>
      <c r="H80" s="138"/>
    </row>
    <row r="81" ht="22.5" customHeight="1">
      <c r="A81" s="138"/>
      <c r="B81" s="132"/>
      <c r="G81" s="129"/>
      <c r="H81" s="138"/>
    </row>
    <row r="82" ht="22.5" customHeight="1">
      <c r="A82" s="138"/>
      <c r="B82" s="132"/>
      <c r="G82" s="129"/>
      <c r="H82" s="138"/>
    </row>
    <row r="83" ht="22.5" customHeight="1">
      <c r="A83" s="138"/>
      <c r="B83" s="132"/>
      <c r="G83" s="129"/>
      <c r="H83" s="138"/>
    </row>
    <row r="84" ht="22.5" customHeight="1">
      <c r="A84" s="138"/>
      <c r="B84" s="132"/>
      <c r="G84" s="129"/>
      <c r="H84" s="138"/>
    </row>
    <row r="85" ht="22.5" customHeight="1">
      <c r="A85" s="138"/>
      <c r="B85" s="132"/>
      <c r="G85" s="129"/>
      <c r="H85" s="138"/>
    </row>
    <row r="86" ht="22.5" customHeight="1">
      <c r="A86" s="138"/>
      <c r="B86" s="132"/>
      <c r="G86" s="129"/>
      <c r="H86" s="138"/>
    </row>
    <row r="87" ht="22.5" customHeight="1">
      <c r="A87" s="138"/>
      <c r="B87" s="132"/>
      <c r="G87" s="129"/>
      <c r="H87" s="138"/>
    </row>
    <row r="88" ht="22.5" customHeight="1">
      <c r="A88" s="138"/>
      <c r="B88" s="132"/>
      <c r="G88" s="129"/>
      <c r="H88" s="138"/>
    </row>
    <row r="89" ht="22.5" customHeight="1">
      <c r="A89" s="138"/>
      <c r="B89" s="133"/>
      <c r="C89" s="134"/>
      <c r="D89" s="134"/>
      <c r="E89" s="134"/>
      <c r="F89" s="134"/>
      <c r="G89" s="135"/>
      <c r="H89" s="138"/>
    </row>
    <row r="90" ht="10.5" customHeight="1">
      <c r="A90" s="139"/>
      <c r="B90" s="120"/>
      <c r="C90" s="103"/>
      <c r="D90" s="103"/>
      <c r="E90" s="103"/>
      <c r="F90" s="103"/>
      <c r="G90" s="104"/>
      <c r="H90" s="139"/>
    </row>
  </sheetData>
  <mergeCells count="10">
    <mergeCell ref="B63:G89"/>
    <mergeCell ref="H63:H90"/>
    <mergeCell ref="B90:G90"/>
    <mergeCell ref="B1:G1"/>
    <mergeCell ref="B2:D2"/>
    <mergeCell ref="E2:G2"/>
    <mergeCell ref="B16:G16"/>
    <mergeCell ref="A17:H17"/>
    <mergeCell ref="A18:H62"/>
    <mergeCell ref="A63:A90"/>
  </mergeCells>
  <dataValidations>
    <dataValidation type="list" allowBlank="1" showErrorMessage="1" sqref="E3">
      <formula1>"WEIGHT (Lbs),WEIGHT (Kg)"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6.88"/>
    <col customWidth="1" min="3" max="3" width="6.38"/>
    <col customWidth="1" min="4" max="4" width="3.25"/>
    <col customWidth="1" min="5" max="6" width="7.13"/>
    <col customWidth="1" min="7" max="7" width="1.0"/>
    <col customWidth="1" min="8" max="8" width="49.25"/>
    <col customWidth="1" min="9" max="9" width="29.0"/>
    <col customWidth="1" min="10" max="10" width="9.25"/>
    <col customWidth="1" min="11" max="11" width="17.75"/>
    <col customWidth="1" min="12" max="20" width="61.5"/>
  </cols>
  <sheetData>
    <row r="1">
      <c r="A1" s="140"/>
      <c r="B1" s="141"/>
      <c r="C1" s="142"/>
      <c r="D1" s="142"/>
      <c r="E1" s="142"/>
      <c r="F1" s="142"/>
      <c r="G1" s="143"/>
      <c r="H1" s="144"/>
      <c r="I1" s="144"/>
      <c r="J1" s="140">
        <f>MAX(J3:J1231)</f>
        <v>1229</v>
      </c>
      <c r="K1" s="145"/>
      <c r="L1" s="141"/>
      <c r="M1" s="141"/>
      <c r="N1" s="141"/>
      <c r="O1" s="141"/>
      <c r="P1" s="141"/>
      <c r="Q1" s="141"/>
      <c r="R1" s="141"/>
      <c r="S1" s="141"/>
      <c r="T1" s="141"/>
    </row>
    <row r="2">
      <c r="A2" s="146" t="s">
        <v>9</v>
      </c>
      <c r="B2" s="146" t="s">
        <v>10</v>
      </c>
      <c r="C2" s="147" t="s">
        <v>147</v>
      </c>
      <c r="D2" s="147"/>
      <c r="E2" s="147" t="s">
        <v>11</v>
      </c>
      <c r="F2" s="147" t="s">
        <v>148</v>
      </c>
      <c r="G2" s="148"/>
      <c r="H2" s="149" t="s">
        <v>149</v>
      </c>
      <c r="I2" s="149" t="s">
        <v>150</v>
      </c>
      <c r="J2" s="150" t="s">
        <v>151</v>
      </c>
      <c r="K2" s="151" t="s">
        <v>152</v>
      </c>
      <c r="L2" s="150" t="s">
        <v>153</v>
      </c>
      <c r="M2" s="150"/>
      <c r="N2" s="150"/>
      <c r="O2" s="150"/>
      <c r="P2" s="150"/>
      <c r="Q2" s="150"/>
      <c r="R2" s="150"/>
      <c r="S2" s="150"/>
      <c r="T2" s="150"/>
    </row>
    <row r="3">
      <c r="A3" s="152">
        <v>1.0</v>
      </c>
      <c r="B3" s="153" t="s">
        <v>154</v>
      </c>
      <c r="C3" s="154" t="s">
        <v>54</v>
      </c>
      <c r="D3" s="154" t="s">
        <v>17</v>
      </c>
      <c r="E3" s="154" t="s">
        <v>53</v>
      </c>
      <c r="F3" s="154">
        <v>1.0</v>
      </c>
      <c r="G3" s="155"/>
      <c r="H3" s="153" t="s">
        <v>155</v>
      </c>
      <c r="I3" s="153" t="s">
        <v>156</v>
      </c>
      <c r="J3" s="156">
        <v>1.0</v>
      </c>
      <c r="K3" s="157" t="s">
        <v>157</v>
      </c>
      <c r="L3" s="158" t="s">
        <v>158</v>
      </c>
      <c r="M3" s="158"/>
      <c r="N3" s="158"/>
      <c r="O3" s="158"/>
      <c r="P3" s="158"/>
      <c r="Q3" s="158"/>
      <c r="R3" s="158"/>
      <c r="S3" s="158"/>
      <c r="T3" s="158"/>
    </row>
    <row r="4">
      <c r="A4" s="152">
        <v>2.0</v>
      </c>
      <c r="B4" s="153" t="s">
        <v>159</v>
      </c>
      <c r="C4" s="159" t="s">
        <v>160</v>
      </c>
      <c r="D4" s="154" t="s">
        <v>21</v>
      </c>
      <c r="E4" s="154" t="s">
        <v>161</v>
      </c>
      <c r="F4" s="154">
        <v>2.0</v>
      </c>
      <c r="G4" s="155"/>
      <c r="H4" s="153" t="s">
        <v>162</v>
      </c>
      <c r="I4" s="153" t="s">
        <v>156</v>
      </c>
      <c r="J4" s="156">
        <v>2.0</v>
      </c>
      <c r="K4" s="157" t="s">
        <v>163</v>
      </c>
      <c r="L4" s="158" t="s">
        <v>164</v>
      </c>
      <c r="M4" s="158"/>
      <c r="N4" s="158"/>
      <c r="O4" s="158"/>
      <c r="P4" s="158"/>
      <c r="Q4" s="158"/>
      <c r="R4" s="158"/>
      <c r="S4" s="158"/>
      <c r="T4" s="158"/>
    </row>
    <row r="5">
      <c r="A5" s="152">
        <v>3.0</v>
      </c>
      <c r="B5" s="153" t="s">
        <v>165</v>
      </c>
      <c r="C5" s="154" t="s">
        <v>79</v>
      </c>
      <c r="D5" s="154" t="s">
        <v>26</v>
      </c>
      <c r="E5" s="154">
        <v>1111.0</v>
      </c>
      <c r="F5" s="154">
        <v>3.0</v>
      </c>
      <c r="G5" s="155"/>
      <c r="H5" s="153" t="s">
        <v>166</v>
      </c>
      <c r="I5" s="153" t="s">
        <v>167</v>
      </c>
      <c r="J5" s="156">
        <v>3.0</v>
      </c>
      <c r="K5" s="157" t="s">
        <v>168</v>
      </c>
      <c r="L5" s="153" t="s">
        <v>169</v>
      </c>
      <c r="M5" s="153"/>
      <c r="N5" s="153"/>
      <c r="O5" s="153"/>
      <c r="P5" s="153"/>
      <c r="Q5" s="153"/>
      <c r="R5" s="153"/>
      <c r="S5" s="153"/>
      <c r="T5" s="153"/>
    </row>
    <row r="6">
      <c r="A6" s="152">
        <v>4.0</v>
      </c>
      <c r="B6" s="153" t="s">
        <v>170</v>
      </c>
      <c r="C6" s="154" t="s">
        <v>73</v>
      </c>
      <c r="D6" s="154" t="s">
        <v>124</v>
      </c>
      <c r="E6" s="154">
        <v>1112.0</v>
      </c>
      <c r="F6" s="154">
        <v>4.0</v>
      </c>
      <c r="G6" s="155"/>
      <c r="H6" s="153" t="s">
        <v>171</v>
      </c>
      <c r="I6" s="153" t="s">
        <v>167</v>
      </c>
      <c r="J6" s="156">
        <v>4.0</v>
      </c>
      <c r="K6" s="157" t="s">
        <v>172</v>
      </c>
      <c r="L6" s="158" t="s">
        <v>173</v>
      </c>
      <c r="M6" s="158"/>
      <c r="N6" s="158"/>
      <c r="O6" s="158"/>
      <c r="P6" s="158"/>
      <c r="Q6" s="158"/>
      <c r="R6" s="158"/>
      <c r="S6" s="158"/>
      <c r="T6" s="158"/>
    </row>
    <row r="7">
      <c r="A7" s="152">
        <v>5.0</v>
      </c>
      <c r="B7" s="153" t="s">
        <v>174</v>
      </c>
      <c r="C7" s="154" t="s">
        <v>63</v>
      </c>
      <c r="D7" s="154" t="s">
        <v>175</v>
      </c>
      <c r="E7" s="154">
        <v>1113.0</v>
      </c>
      <c r="F7" s="154">
        <v>5.0</v>
      </c>
      <c r="G7" s="155"/>
      <c r="H7" s="153" t="s">
        <v>176</v>
      </c>
      <c r="I7" s="153" t="s">
        <v>167</v>
      </c>
      <c r="J7" s="156">
        <v>5.0</v>
      </c>
      <c r="K7" s="157" t="s">
        <v>177</v>
      </c>
      <c r="L7" s="158" t="s">
        <v>178</v>
      </c>
      <c r="M7" s="158"/>
      <c r="N7" s="158"/>
      <c r="O7" s="158"/>
      <c r="P7" s="158"/>
      <c r="Q7" s="158"/>
      <c r="R7" s="158"/>
      <c r="S7" s="158"/>
      <c r="T7" s="158"/>
    </row>
    <row r="8">
      <c r="A8" s="152">
        <v>6.0</v>
      </c>
      <c r="B8" s="153" t="s">
        <v>179</v>
      </c>
      <c r="C8" s="154" t="s">
        <v>56</v>
      </c>
      <c r="D8" s="154" t="s">
        <v>180</v>
      </c>
      <c r="E8" s="154">
        <v>1114.0</v>
      </c>
      <c r="F8" s="154">
        <v>6.0</v>
      </c>
      <c r="G8" s="155"/>
      <c r="H8" s="153" t="s">
        <v>181</v>
      </c>
      <c r="I8" s="153" t="s">
        <v>182</v>
      </c>
      <c r="J8" s="156">
        <v>6.0</v>
      </c>
      <c r="K8" s="157" t="s">
        <v>183</v>
      </c>
      <c r="L8" s="158" t="s">
        <v>184</v>
      </c>
      <c r="M8" s="158"/>
      <c r="N8" s="158"/>
      <c r="O8" s="158"/>
      <c r="P8" s="158"/>
      <c r="Q8" s="158"/>
      <c r="R8" s="158"/>
      <c r="S8" s="158"/>
      <c r="T8" s="158"/>
    </row>
    <row r="9">
      <c r="A9" s="152">
        <v>7.0</v>
      </c>
      <c r="B9" s="153" t="s">
        <v>185</v>
      </c>
      <c r="C9" s="154" t="s">
        <v>59</v>
      </c>
      <c r="D9" s="154" t="s">
        <v>186</v>
      </c>
      <c r="E9" s="154">
        <v>1115.0</v>
      </c>
      <c r="F9" s="154">
        <v>7.0</v>
      </c>
      <c r="G9" s="155"/>
      <c r="H9" s="153" t="s">
        <v>187</v>
      </c>
      <c r="I9" s="153" t="s">
        <v>188</v>
      </c>
      <c r="J9" s="156">
        <v>7.0</v>
      </c>
      <c r="K9" s="157" t="s">
        <v>189</v>
      </c>
      <c r="L9" s="153" t="s">
        <v>190</v>
      </c>
      <c r="M9" s="153"/>
      <c r="N9" s="153"/>
      <c r="O9" s="153"/>
      <c r="P9" s="153"/>
      <c r="Q9" s="153"/>
      <c r="R9" s="153"/>
      <c r="S9" s="153"/>
      <c r="T9" s="153"/>
    </row>
    <row r="10">
      <c r="A10" s="152">
        <v>8.0</v>
      </c>
      <c r="B10" s="160" t="s">
        <v>73</v>
      </c>
      <c r="C10" s="154" t="s">
        <v>76</v>
      </c>
      <c r="D10" s="154" t="s">
        <v>191</v>
      </c>
      <c r="E10" s="154">
        <v>1116.0</v>
      </c>
      <c r="F10" s="154">
        <v>8.0</v>
      </c>
      <c r="G10" s="155"/>
      <c r="H10" s="153" t="s">
        <v>192</v>
      </c>
      <c r="I10" s="153" t="s">
        <v>167</v>
      </c>
      <c r="J10" s="156">
        <v>8.0</v>
      </c>
      <c r="K10" s="157" t="s">
        <v>193</v>
      </c>
      <c r="L10" s="153" t="s">
        <v>194</v>
      </c>
      <c r="M10" s="153"/>
      <c r="N10" s="153"/>
      <c r="O10" s="153"/>
      <c r="P10" s="153"/>
      <c r="Q10" s="153"/>
      <c r="R10" s="153"/>
      <c r="S10" s="153"/>
      <c r="T10" s="153"/>
    </row>
    <row r="11">
      <c r="A11" s="152">
        <v>9.0</v>
      </c>
      <c r="B11" s="160" t="s">
        <v>195</v>
      </c>
      <c r="C11" s="154" t="s">
        <v>196</v>
      </c>
      <c r="D11" s="154" t="s">
        <v>197</v>
      </c>
      <c r="E11" s="154">
        <v>1121.0</v>
      </c>
      <c r="F11" s="154">
        <v>9.0</v>
      </c>
      <c r="G11" s="155"/>
      <c r="H11" s="153" t="s">
        <v>198</v>
      </c>
      <c r="I11" s="153" t="s">
        <v>167</v>
      </c>
      <c r="J11" s="156">
        <v>9.0</v>
      </c>
      <c r="K11" s="157" t="s">
        <v>199</v>
      </c>
      <c r="L11" s="158" t="s">
        <v>200</v>
      </c>
      <c r="M11" s="158"/>
      <c r="N11" s="158"/>
      <c r="O11" s="158"/>
      <c r="P11" s="158"/>
      <c r="Q11" s="158"/>
      <c r="R11" s="158"/>
      <c r="S11" s="158"/>
      <c r="T11" s="158"/>
    </row>
    <row r="12">
      <c r="A12" s="152">
        <v>10.0</v>
      </c>
      <c r="B12" s="160" t="s">
        <v>63</v>
      </c>
      <c r="C12" s="154" t="s">
        <v>201</v>
      </c>
      <c r="D12" s="152"/>
      <c r="E12" s="154">
        <v>1122.0</v>
      </c>
      <c r="F12" s="154">
        <v>10.0</v>
      </c>
      <c r="G12" s="155"/>
      <c r="H12" s="153" t="s">
        <v>202</v>
      </c>
      <c r="I12" s="153" t="s">
        <v>156</v>
      </c>
      <c r="J12" s="156">
        <v>10.0</v>
      </c>
      <c r="K12" s="157" t="s">
        <v>203</v>
      </c>
      <c r="L12" s="158" t="s">
        <v>204</v>
      </c>
      <c r="M12" s="158"/>
      <c r="N12" s="158"/>
      <c r="O12" s="158"/>
      <c r="P12" s="158"/>
      <c r="Q12" s="158"/>
      <c r="R12" s="158"/>
      <c r="S12" s="158"/>
      <c r="T12" s="158"/>
    </row>
    <row r="13">
      <c r="A13" s="152">
        <v>11.0</v>
      </c>
      <c r="B13" s="160" t="s">
        <v>59</v>
      </c>
      <c r="C13" s="154" t="s">
        <v>205</v>
      </c>
      <c r="D13" s="152"/>
      <c r="E13" s="154">
        <v>1123.0</v>
      </c>
      <c r="F13" s="154">
        <v>11.0</v>
      </c>
      <c r="G13" s="161"/>
      <c r="H13" s="153" t="s">
        <v>206</v>
      </c>
      <c r="I13" s="153" t="s">
        <v>207</v>
      </c>
      <c r="J13" s="156">
        <v>11.0</v>
      </c>
      <c r="K13" s="157" t="s">
        <v>208</v>
      </c>
      <c r="L13" s="158" t="s">
        <v>209</v>
      </c>
      <c r="M13" s="158"/>
      <c r="N13" s="158"/>
      <c r="O13" s="158"/>
      <c r="P13" s="158"/>
      <c r="Q13" s="158"/>
      <c r="R13" s="158"/>
      <c r="S13" s="158"/>
      <c r="T13" s="158"/>
    </row>
    <row r="14">
      <c r="A14" s="152">
        <v>12.0</v>
      </c>
      <c r="B14" s="160" t="s">
        <v>76</v>
      </c>
      <c r="C14" s="152"/>
      <c r="D14" s="152"/>
      <c r="E14" s="154">
        <v>1124.0</v>
      </c>
      <c r="F14" s="154">
        <v>12.0</v>
      </c>
      <c r="G14" s="155"/>
      <c r="H14" s="153" t="s">
        <v>210</v>
      </c>
      <c r="I14" s="153" t="s">
        <v>156</v>
      </c>
      <c r="J14" s="156">
        <v>12.0</v>
      </c>
      <c r="K14" s="157" t="s">
        <v>211</v>
      </c>
      <c r="L14" s="158" t="s">
        <v>212</v>
      </c>
      <c r="M14" s="158"/>
      <c r="N14" s="158"/>
      <c r="O14" s="158"/>
      <c r="P14" s="158"/>
      <c r="Q14" s="158"/>
      <c r="R14" s="158"/>
      <c r="S14" s="158"/>
      <c r="T14" s="158"/>
    </row>
    <row r="15">
      <c r="A15" s="152"/>
      <c r="B15" s="160" t="s">
        <v>201</v>
      </c>
      <c r="C15" s="152"/>
      <c r="D15" s="152"/>
      <c r="E15" s="154">
        <v>1125.0</v>
      </c>
      <c r="F15" s="154">
        <v>13.0</v>
      </c>
      <c r="G15" s="155"/>
      <c r="H15" s="153" t="s">
        <v>213</v>
      </c>
      <c r="I15" s="153" t="s">
        <v>156</v>
      </c>
      <c r="J15" s="156">
        <v>13.0</v>
      </c>
      <c r="K15" s="157" t="s">
        <v>214</v>
      </c>
      <c r="L15" s="158" t="s">
        <v>215</v>
      </c>
      <c r="M15" s="158"/>
      <c r="N15" s="158"/>
      <c r="O15" s="158"/>
      <c r="P15" s="158"/>
      <c r="Q15" s="158"/>
      <c r="R15" s="158"/>
      <c r="S15" s="158"/>
      <c r="T15" s="158"/>
    </row>
    <row r="16">
      <c r="A16" s="152"/>
      <c r="B16" s="153"/>
      <c r="C16" s="152"/>
      <c r="D16" s="152"/>
      <c r="E16" s="154">
        <v>1126.0</v>
      </c>
      <c r="F16" s="154">
        <v>14.0</v>
      </c>
      <c r="G16" s="155"/>
      <c r="H16" s="153" t="s">
        <v>216</v>
      </c>
      <c r="I16" s="153" t="s">
        <v>167</v>
      </c>
      <c r="J16" s="156">
        <v>14.0</v>
      </c>
      <c r="K16" s="157" t="s">
        <v>217</v>
      </c>
      <c r="L16" s="153" t="s">
        <v>218</v>
      </c>
      <c r="M16" s="153"/>
      <c r="N16" s="153"/>
      <c r="O16" s="153"/>
      <c r="P16" s="153"/>
      <c r="Q16" s="153"/>
      <c r="R16" s="153"/>
      <c r="S16" s="153"/>
      <c r="T16" s="153"/>
    </row>
    <row r="17">
      <c r="A17" s="152"/>
      <c r="B17" s="153"/>
      <c r="C17" s="152"/>
      <c r="D17" s="152"/>
      <c r="E17" s="154">
        <v>1131.0</v>
      </c>
      <c r="F17" s="154">
        <v>15.0</v>
      </c>
      <c r="G17" s="155"/>
      <c r="H17" s="153" t="s">
        <v>219</v>
      </c>
      <c r="I17" s="153" t="s">
        <v>156</v>
      </c>
      <c r="J17" s="156">
        <v>15.0</v>
      </c>
      <c r="K17" s="157" t="s">
        <v>220</v>
      </c>
      <c r="L17" s="153" t="s">
        <v>221</v>
      </c>
      <c r="M17" s="153"/>
      <c r="N17" s="153"/>
      <c r="O17" s="153"/>
      <c r="P17" s="153"/>
      <c r="Q17" s="153"/>
      <c r="R17" s="153"/>
      <c r="S17" s="153"/>
      <c r="T17" s="153"/>
    </row>
    <row r="18">
      <c r="A18" s="152"/>
      <c r="B18" s="153"/>
      <c r="C18" s="152"/>
      <c r="D18" s="152"/>
      <c r="E18" s="154">
        <v>1132.0</v>
      </c>
      <c r="F18" s="154">
        <v>16.0</v>
      </c>
      <c r="G18" s="155"/>
      <c r="H18" s="153" t="s">
        <v>222</v>
      </c>
      <c r="I18" s="153" t="s">
        <v>167</v>
      </c>
      <c r="J18" s="156">
        <v>16.0</v>
      </c>
      <c r="K18" s="157" t="s">
        <v>223</v>
      </c>
      <c r="L18" s="158" t="s">
        <v>224</v>
      </c>
      <c r="M18" s="158"/>
      <c r="N18" s="158"/>
      <c r="O18" s="158"/>
      <c r="P18" s="158"/>
      <c r="Q18" s="158"/>
      <c r="R18" s="158"/>
      <c r="S18" s="158"/>
      <c r="T18" s="158"/>
    </row>
    <row r="19">
      <c r="A19" s="152"/>
      <c r="B19" s="153"/>
      <c r="C19" s="152"/>
      <c r="D19" s="152"/>
      <c r="E19" s="154">
        <v>1133.0</v>
      </c>
      <c r="F19" s="154">
        <v>17.0</v>
      </c>
      <c r="G19" s="155"/>
      <c r="H19" s="153" t="s">
        <v>225</v>
      </c>
      <c r="I19" s="153" t="s">
        <v>226</v>
      </c>
      <c r="J19" s="156">
        <v>17.0</v>
      </c>
      <c r="K19" s="157" t="s">
        <v>227</v>
      </c>
      <c r="L19" s="158" t="s">
        <v>228</v>
      </c>
      <c r="M19" s="158"/>
      <c r="N19" s="158"/>
      <c r="O19" s="158"/>
      <c r="P19" s="158"/>
      <c r="Q19" s="158"/>
      <c r="R19" s="158"/>
      <c r="S19" s="158"/>
      <c r="T19" s="158"/>
    </row>
    <row r="20">
      <c r="A20" s="152"/>
      <c r="B20" s="153"/>
      <c r="C20" s="152"/>
      <c r="D20" s="152"/>
      <c r="E20" s="154">
        <v>1134.0</v>
      </c>
      <c r="F20" s="154">
        <v>18.0</v>
      </c>
      <c r="G20" s="155"/>
      <c r="H20" s="153" t="s">
        <v>229</v>
      </c>
      <c r="I20" s="153" t="s">
        <v>230</v>
      </c>
      <c r="J20" s="156">
        <v>18.0</v>
      </c>
      <c r="K20" s="157" t="s">
        <v>231</v>
      </c>
      <c r="L20" s="158" t="s">
        <v>232</v>
      </c>
      <c r="M20" s="158"/>
      <c r="N20" s="158"/>
      <c r="O20" s="158"/>
      <c r="P20" s="158"/>
      <c r="Q20" s="158"/>
      <c r="R20" s="158"/>
      <c r="S20" s="158"/>
      <c r="T20" s="158"/>
    </row>
    <row r="21">
      <c r="A21" s="152"/>
      <c r="B21" s="153"/>
      <c r="C21" s="152"/>
      <c r="D21" s="152"/>
      <c r="E21" s="154">
        <v>1135.0</v>
      </c>
      <c r="F21" s="154">
        <v>19.0</v>
      </c>
      <c r="G21" s="155"/>
      <c r="H21" s="153" t="s">
        <v>233</v>
      </c>
      <c r="I21" s="153" t="s">
        <v>230</v>
      </c>
      <c r="J21" s="156">
        <v>19.0</v>
      </c>
      <c r="K21" s="157" t="s">
        <v>234</v>
      </c>
      <c r="L21" s="158" t="s">
        <v>235</v>
      </c>
      <c r="M21" s="158"/>
      <c r="N21" s="158"/>
      <c r="O21" s="158"/>
      <c r="P21" s="158"/>
      <c r="Q21" s="158"/>
      <c r="R21" s="158"/>
      <c r="S21" s="158"/>
      <c r="T21" s="158"/>
    </row>
    <row r="22">
      <c r="A22" s="152"/>
      <c r="B22" s="153"/>
      <c r="C22" s="152"/>
      <c r="D22" s="152"/>
      <c r="E22" s="154">
        <v>1136.0</v>
      </c>
      <c r="F22" s="154">
        <v>20.0</v>
      </c>
      <c r="G22" s="155"/>
      <c r="H22" s="153" t="s">
        <v>236</v>
      </c>
      <c r="I22" s="153" t="s">
        <v>167</v>
      </c>
      <c r="J22" s="156">
        <v>20.0</v>
      </c>
      <c r="K22" s="157" t="s">
        <v>237</v>
      </c>
      <c r="L22" s="158" t="s">
        <v>238</v>
      </c>
      <c r="M22" s="158"/>
      <c r="N22" s="158"/>
      <c r="O22" s="158"/>
      <c r="P22" s="158"/>
      <c r="Q22" s="158"/>
      <c r="R22" s="158"/>
      <c r="S22" s="158"/>
      <c r="T22" s="158"/>
    </row>
    <row r="23">
      <c r="A23" s="152"/>
      <c r="B23" s="153"/>
      <c r="C23" s="152"/>
      <c r="D23" s="152"/>
      <c r="E23" s="154">
        <v>1141.0</v>
      </c>
      <c r="F23" s="152"/>
      <c r="G23" s="155"/>
      <c r="H23" s="153" t="s">
        <v>239</v>
      </c>
      <c r="I23" s="153" t="s">
        <v>156</v>
      </c>
      <c r="J23" s="156">
        <v>21.0</v>
      </c>
      <c r="K23" s="157" t="s">
        <v>240</v>
      </c>
      <c r="L23" s="153" t="s">
        <v>241</v>
      </c>
      <c r="M23" s="153"/>
      <c r="N23" s="153"/>
      <c r="O23" s="153"/>
      <c r="P23" s="153"/>
      <c r="Q23" s="153"/>
      <c r="R23" s="153"/>
      <c r="S23" s="153"/>
      <c r="T23" s="153"/>
    </row>
    <row r="24">
      <c r="A24" s="152"/>
      <c r="B24" s="153"/>
      <c r="C24" s="152"/>
      <c r="D24" s="152"/>
      <c r="E24" s="154">
        <v>1142.0</v>
      </c>
      <c r="F24" s="152"/>
      <c r="G24" s="155"/>
      <c r="H24" s="153" t="s">
        <v>242</v>
      </c>
      <c r="I24" s="153" t="s">
        <v>167</v>
      </c>
      <c r="J24" s="156">
        <v>22.0</v>
      </c>
      <c r="K24" s="157" t="s">
        <v>243</v>
      </c>
      <c r="L24" s="158" t="s">
        <v>244</v>
      </c>
      <c r="M24" s="158"/>
      <c r="N24" s="158"/>
      <c r="O24" s="158"/>
      <c r="P24" s="158"/>
      <c r="Q24" s="158"/>
      <c r="R24" s="158"/>
      <c r="S24" s="158"/>
      <c r="T24" s="158"/>
    </row>
    <row r="25">
      <c r="A25" s="152"/>
      <c r="B25" s="153"/>
      <c r="C25" s="152"/>
      <c r="D25" s="152"/>
      <c r="E25" s="154">
        <v>1143.0</v>
      </c>
      <c r="F25" s="152"/>
      <c r="G25" s="155"/>
      <c r="H25" s="153" t="s">
        <v>245</v>
      </c>
      <c r="I25" s="153" t="s">
        <v>246</v>
      </c>
      <c r="J25" s="156">
        <v>23.0</v>
      </c>
      <c r="K25" s="157" t="s">
        <v>247</v>
      </c>
      <c r="L25" s="153" t="s">
        <v>248</v>
      </c>
      <c r="M25" s="153"/>
      <c r="N25" s="153"/>
      <c r="O25" s="153"/>
      <c r="P25" s="153"/>
      <c r="Q25" s="153"/>
      <c r="R25" s="153"/>
      <c r="S25" s="153"/>
      <c r="T25" s="153"/>
    </row>
    <row r="26">
      <c r="A26" s="152"/>
      <c r="B26" s="153"/>
      <c r="C26" s="152"/>
      <c r="D26" s="152"/>
      <c r="E26" s="154">
        <v>1144.0</v>
      </c>
      <c r="F26" s="152"/>
      <c r="G26" s="155"/>
      <c r="H26" s="153" t="s">
        <v>249</v>
      </c>
      <c r="I26" s="153" t="s">
        <v>167</v>
      </c>
      <c r="J26" s="156">
        <v>24.0</v>
      </c>
      <c r="K26" s="157" t="s">
        <v>250</v>
      </c>
      <c r="L26" s="158" t="s">
        <v>251</v>
      </c>
      <c r="M26" s="158"/>
      <c r="N26" s="158"/>
      <c r="O26" s="158"/>
      <c r="P26" s="158"/>
      <c r="Q26" s="158"/>
      <c r="R26" s="158"/>
      <c r="S26" s="158"/>
      <c r="T26" s="158"/>
    </row>
    <row r="27">
      <c r="A27" s="152"/>
      <c r="B27" s="153"/>
      <c r="C27" s="152"/>
      <c r="D27" s="152"/>
      <c r="E27" s="154">
        <v>1145.0</v>
      </c>
      <c r="F27" s="152"/>
      <c r="G27" s="155"/>
      <c r="H27" s="153" t="s">
        <v>252</v>
      </c>
      <c r="I27" s="153" t="s">
        <v>167</v>
      </c>
      <c r="J27" s="156">
        <v>25.0</v>
      </c>
      <c r="K27" s="157" t="s">
        <v>253</v>
      </c>
      <c r="L27" s="158" t="s">
        <v>254</v>
      </c>
      <c r="M27" s="158"/>
      <c r="N27" s="158"/>
      <c r="O27" s="158"/>
      <c r="P27" s="158"/>
      <c r="Q27" s="158"/>
      <c r="R27" s="158"/>
      <c r="S27" s="158"/>
      <c r="T27" s="158"/>
    </row>
    <row r="28">
      <c r="A28" s="152"/>
      <c r="B28" s="153"/>
      <c r="C28" s="152"/>
      <c r="D28" s="152"/>
      <c r="E28" s="154">
        <v>1146.0</v>
      </c>
      <c r="F28" s="152"/>
      <c r="G28" s="155"/>
      <c r="H28" s="153" t="s">
        <v>255</v>
      </c>
      <c r="I28" s="153" t="s">
        <v>246</v>
      </c>
      <c r="J28" s="156">
        <v>26.0</v>
      </c>
      <c r="K28" s="157" t="s">
        <v>256</v>
      </c>
      <c r="L28" s="153" t="s">
        <v>257</v>
      </c>
      <c r="M28" s="153"/>
      <c r="N28" s="153"/>
      <c r="O28" s="153"/>
      <c r="P28" s="153"/>
      <c r="Q28" s="153"/>
      <c r="R28" s="153"/>
      <c r="S28" s="153"/>
      <c r="T28" s="153"/>
    </row>
    <row r="29">
      <c r="A29" s="152"/>
      <c r="B29" s="153"/>
      <c r="C29" s="152"/>
      <c r="D29" s="152"/>
      <c r="E29" s="154">
        <v>1151.0</v>
      </c>
      <c r="F29" s="152"/>
      <c r="G29" s="155"/>
      <c r="H29" s="153" t="s">
        <v>258</v>
      </c>
      <c r="I29" s="153" t="s">
        <v>167</v>
      </c>
      <c r="J29" s="156">
        <v>27.0</v>
      </c>
      <c r="K29" s="157" t="s">
        <v>259</v>
      </c>
      <c r="L29" s="158" t="s">
        <v>260</v>
      </c>
      <c r="M29" s="158"/>
      <c r="N29" s="158"/>
      <c r="O29" s="158"/>
      <c r="P29" s="158"/>
      <c r="Q29" s="158"/>
      <c r="R29" s="158"/>
      <c r="S29" s="158"/>
      <c r="T29" s="158"/>
    </row>
    <row r="30">
      <c r="A30" s="152"/>
      <c r="B30" s="153"/>
      <c r="C30" s="152"/>
      <c r="D30" s="152"/>
      <c r="E30" s="154">
        <v>1152.0</v>
      </c>
      <c r="F30" s="152"/>
      <c r="G30" s="155"/>
      <c r="H30" s="153" t="s">
        <v>261</v>
      </c>
      <c r="I30" s="153" t="s">
        <v>246</v>
      </c>
      <c r="J30" s="156">
        <v>28.0</v>
      </c>
      <c r="K30" s="157" t="s">
        <v>262</v>
      </c>
      <c r="L30" s="158" t="s">
        <v>263</v>
      </c>
      <c r="M30" s="158"/>
      <c r="N30" s="158"/>
      <c r="O30" s="158"/>
      <c r="P30" s="158"/>
      <c r="Q30" s="158"/>
      <c r="R30" s="158"/>
      <c r="S30" s="158"/>
      <c r="T30" s="158"/>
    </row>
    <row r="31">
      <c r="A31" s="152"/>
      <c r="B31" s="153"/>
      <c r="C31" s="152"/>
      <c r="D31" s="152"/>
      <c r="E31" s="154">
        <v>1153.0</v>
      </c>
      <c r="F31" s="152"/>
      <c r="G31" s="155"/>
      <c r="H31" s="153" t="s">
        <v>264</v>
      </c>
      <c r="I31" s="153" t="s">
        <v>246</v>
      </c>
      <c r="J31" s="156">
        <v>29.0</v>
      </c>
      <c r="K31" s="157" t="s">
        <v>265</v>
      </c>
      <c r="L31" s="158" t="s">
        <v>266</v>
      </c>
      <c r="M31" s="158"/>
      <c r="N31" s="158"/>
      <c r="O31" s="158"/>
      <c r="P31" s="158"/>
      <c r="Q31" s="158"/>
      <c r="R31" s="158"/>
      <c r="S31" s="158"/>
      <c r="T31" s="158"/>
    </row>
    <row r="32">
      <c r="A32" s="152"/>
      <c r="B32" s="153"/>
      <c r="C32" s="152"/>
      <c r="D32" s="152"/>
      <c r="E32" s="154">
        <v>1154.0</v>
      </c>
      <c r="F32" s="152"/>
      <c r="G32" s="155"/>
      <c r="H32" s="153" t="s">
        <v>267</v>
      </c>
      <c r="I32" s="153" t="s">
        <v>167</v>
      </c>
      <c r="J32" s="156">
        <v>30.0</v>
      </c>
      <c r="K32" s="157" t="s">
        <v>268</v>
      </c>
      <c r="L32" s="158" t="s">
        <v>269</v>
      </c>
      <c r="M32" s="158"/>
      <c r="N32" s="158"/>
      <c r="O32" s="158"/>
      <c r="P32" s="158"/>
      <c r="Q32" s="158"/>
      <c r="R32" s="158"/>
      <c r="S32" s="158"/>
      <c r="T32" s="158"/>
    </row>
    <row r="33">
      <c r="A33" s="152"/>
      <c r="B33" s="153"/>
      <c r="C33" s="152"/>
      <c r="D33" s="152"/>
      <c r="E33" s="154">
        <v>1155.0</v>
      </c>
      <c r="F33" s="152"/>
      <c r="G33" s="155"/>
      <c r="H33" s="153" t="s">
        <v>270</v>
      </c>
      <c r="I33" s="153" t="s">
        <v>167</v>
      </c>
      <c r="J33" s="156">
        <v>31.0</v>
      </c>
      <c r="K33" s="157" t="s">
        <v>271</v>
      </c>
      <c r="L33" s="158" t="s">
        <v>272</v>
      </c>
      <c r="M33" s="158"/>
      <c r="N33" s="158"/>
      <c r="O33" s="158"/>
      <c r="P33" s="158"/>
      <c r="Q33" s="158"/>
      <c r="R33" s="158"/>
      <c r="S33" s="158"/>
      <c r="T33" s="158"/>
    </row>
    <row r="34">
      <c r="A34" s="152"/>
      <c r="B34" s="153"/>
      <c r="C34" s="152"/>
      <c r="D34" s="152"/>
      <c r="E34" s="154">
        <v>1156.0</v>
      </c>
      <c r="F34" s="152"/>
      <c r="G34" s="155"/>
      <c r="H34" s="153" t="s">
        <v>273</v>
      </c>
      <c r="I34" s="153" t="s">
        <v>246</v>
      </c>
      <c r="J34" s="156">
        <v>32.0</v>
      </c>
      <c r="K34" s="157" t="s">
        <v>274</v>
      </c>
      <c r="L34" s="158" t="s">
        <v>275</v>
      </c>
      <c r="M34" s="158"/>
      <c r="N34" s="158"/>
      <c r="O34" s="158"/>
      <c r="P34" s="158"/>
      <c r="Q34" s="158"/>
      <c r="R34" s="158"/>
      <c r="S34" s="158"/>
      <c r="T34" s="158"/>
    </row>
    <row r="35">
      <c r="A35" s="152"/>
      <c r="B35" s="153"/>
      <c r="C35" s="152"/>
      <c r="D35" s="152"/>
      <c r="E35" s="154">
        <v>1161.0</v>
      </c>
      <c r="F35" s="152"/>
      <c r="G35" s="155"/>
      <c r="H35" s="153" t="s">
        <v>276</v>
      </c>
      <c r="I35" s="153" t="s">
        <v>167</v>
      </c>
      <c r="J35" s="156">
        <v>33.0</v>
      </c>
      <c r="K35" s="157" t="s">
        <v>277</v>
      </c>
      <c r="L35" s="158" t="s">
        <v>278</v>
      </c>
      <c r="M35" s="158"/>
      <c r="N35" s="158"/>
      <c r="O35" s="158"/>
      <c r="P35" s="158"/>
      <c r="Q35" s="158"/>
      <c r="R35" s="158"/>
      <c r="S35" s="158"/>
      <c r="T35" s="158"/>
    </row>
    <row r="36">
      <c r="A36" s="152"/>
      <c r="B36" s="153"/>
      <c r="C36" s="152"/>
      <c r="D36" s="152"/>
      <c r="E36" s="154">
        <v>1162.0</v>
      </c>
      <c r="F36" s="152"/>
      <c r="G36" s="155"/>
      <c r="H36" s="153" t="s">
        <v>279</v>
      </c>
      <c r="I36" s="153" t="s">
        <v>167</v>
      </c>
      <c r="J36" s="156">
        <v>34.0</v>
      </c>
      <c r="K36" s="157" t="s">
        <v>280</v>
      </c>
      <c r="L36" s="158" t="s">
        <v>281</v>
      </c>
      <c r="M36" s="158"/>
      <c r="N36" s="158"/>
      <c r="O36" s="158"/>
      <c r="P36" s="158"/>
      <c r="Q36" s="158"/>
      <c r="R36" s="158"/>
      <c r="S36" s="158"/>
      <c r="T36" s="158"/>
    </row>
    <row r="37">
      <c r="A37" s="152"/>
      <c r="B37" s="153"/>
      <c r="C37" s="152"/>
      <c r="D37" s="152"/>
      <c r="E37" s="154">
        <v>1163.0</v>
      </c>
      <c r="F37" s="152"/>
      <c r="G37" s="155"/>
      <c r="H37" s="153" t="s">
        <v>282</v>
      </c>
      <c r="I37" s="153" t="s">
        <v>167</v>
      </c>
      <c r="J37" s="156">
        <v>35.0</v>
      </c>
      <c r="K37" s="157" t="s">
        <v>283</v>
      </c>
      <c r="L37" s="158" t="s">
        <v>284</v>
      </c>
      <c r="M37" s="158"/>
      <c r="N37" s="158"/>
      <c r="O37" s="158"/>
      <c r="P37" s="158"/>
      <c r="Q37" s="158"/>
      <c r="R37" s="158"/>
      <c r="S37" s="158"/>
      <c r="T37" s="158"/>
    </row>
    <row r="38">
      <c r="A38" s="152"/>
      <c r="B38" s="153"/>
      <c r="C38" s="152"/>
      <c r="D38" s="152"/>
      <c r="E38" s="154">
        <v>1164.0</v>
      </c>
      <c r="F38" s="152"/>
      <c r="G38" s="155"/>
      <c r="H38" s="153" t="s">
        <v>285</v>
      </c>
      <c r="I38" s="153" t="s">
        <v>188</v>
      </c>
      <c r="J38" s="156">
        <v>36.0</v>
      </c>
      <c r="K38" s="157" t="s">
        <v>286</v>
      </c>
      <c r="L38" s="158" t="s">
        <v>287</v>
      </c>
      <c r="M38" s="158"/>
      <c r="N38" s="158"/>
      <c r="O38" s="158"/>
      <c r="P38" s="158"/>
      <c r="Q38" s="158"/>
      <c r="R38" s="158"/>
      <c r="S38" s="158"/>
      <c r="T38" s="158"/>
    </row>
    <row r="39">
      <c r="A39" s="152"/>
      <c r="B39" s="153"/>
      <c r="C39" s="152"/>
      <c r="D39" s="152"/>
      <c r="E39" s="154">
        <v>1165.0</v>
      </c>
      <c r="F39" s="152"/>
      <c r="G39" s="155"/>
      <c r="H39" s="153" t="s">
        <v>288</v>
      </c>
      <c r="I39" s="153" t="s">
        <v>230</v>
      </c>
      <c r="J39" s="156">
        <v>37.0</v>
      </c>
      <c r="K39" s="157" t="s">
        <v>289</v>
      </c>
      <c r="L39" s="158" t="s">
        <v>290</v>
      </c>
      <c r="M39" s="158"/>
      <c r="N39" s="158"/>
      <c r="O39" s="158"/>
      <c r="P39" s="158"/>
      <c r="Q39" s="158"/>
      <c r="R39" s="158"/>
      <c r="S39" s="158"/>
      <c r="T39" s="158"/>
    </row>
    <row r="40">
      <c r="A40" s="152"/>
      <c r="B40" s="153"/>
      <c r="C40" s="152"/>
      <c r="D40" s="152"/>
      <c r="E40" s="154">
        <v>1166.0</v>
      </c>
      <c r="F40" s="152"/>
      <c r="G40" s="155"/>
      <c r="H40" s="153" t="s">
        <v>291</v>
      </c>
      <c r="I40" s="153" t="s">
        <v>226</v>
      </c>
      <c r="J40" s="156">
        <v>38.0</v>
      </c>
      <c r="K40" s="157" t="s">
        <v>292</v>
      </c>
      <c r="L40" s="158" t="s">
        <v>293</v>
      </c>
      <c r="M40" s="158"/>
      <c r="N40" s="158"/>
      <c r="O40" s="158"/>
      <c r="P40" s="158"/>
      <c r="Q40" s="158"/>
      <c r="R40" s="158"/>
      <c r="S40" s="158"/>
      <c r="T40" s="158"/>
    </row>
    <row r="41">
      <c r="A41" s="152"/>
      <c r="B41" s="153"/>
      <c r="C41" s="152"/>
      <c r="D41" s="152"/>
      <c r="E41" s="154">
        <v>1211.0</v>
      </c>
      <c r="F41" s="152"/>
      <c r="G41" s="155"/>
      <c r="H41" s="153" t="s">
        <v>294</v>
      </c>
      <c r="I41" s="153" t="s">
        <v>246</v>
      </c>
      <c r="J41" s="156">
        <v>39.0</v>
      </c>
      <c r="K41" s="157" t="s">
        <v>247</v>
      </c>
      <c r="L41" s="153" t="s">
        <v>295</v>
      </c>
      <c r="M41" s="153"/>
      <c r="N41" s="153"/>
      <c r="O41" s="153"/>
      <c r="P41" s="153"/>
      <c r="Q41" s="153"/>
      <c r="R41" s="153"/>
      <c r="S41" s="153"/>
      <c r="T41" s="153"/>
    </row>
    <row r="42">
      <c r="A42" s="152"/>
      <c r="B42" s="153"/>
      <c r="C42" s="152"/>
      <c r="D42" s="152"/>
      <c r="E42" s="154">
        <v>1212.0</v>
      </c>
      <c r="F42" s="152"/>
      <c r="G42" s="155"/>
      <c r="H42" s="153" t="s">
        <v>296</v>
      </c>
      <c r="I42" s="153" t="s">
        <v>246</v>
      </c>
      <c r="J42" s="156">
        <v>40.0</v>
      </c>
      <c r="K42" s="157" t="s">
        <v>297</v>
      </c>
      <c r="L42" s="158" t="s">
        <v>298</v>
      </c>
      <c r="M42" s="158"/>
      <c r="N42" s="158"/>
      <c r="O42" s="158"/>
      <c r="P42" s="158"/>
      <c r="Q42" s="158"/>
      <c r="R42" s="158"/>
      <c r="S42" s="158"/>
      <c r="T42" s="158"/>
    </row>
    <row r="43">
      <c r="A43" s="152"/>
      <c r="B43" s="153"/>
      <c r="C43" s="152"/>
      <c r="D43" s="152"/>
      <c r="E43" s="154">
        <v>1213.0</v>
      </c>
      <c r="F43" s="152"/>
      <c r="G43" s="155"/>
      <c r="H43" s="153" t="s">
        <v>299</v>
      </c>
      <c r="I43" s="153" t="s">
        <v>246</v>
      </c>
      <c r="J43" s="156">
        <v>41.0</v>
      </c>
      <c r="K43" s="157" t="s">
        <v>300</v>
      </c>
      <c r="L43" s="158" t="s">
        <v>301</v>
      </c>
      <c r="M43" s="158"/>
      <c r="N43" s="158"/>
      <c r="O43" s="158"/>
      <c r="P43" s="158"/>
      <c r="Q43" s="158"/>
      <c r="R43" s="158"/>
      <c r="S43" s="158"/>
      <c r="T43" s="158"/>
    </row>
    <row r="44">
      <c r="A44" s="152"/>
      <c r="B44" s="153"/>
      <c r="C44" s="152"/>
      <c r="D44" s="152"/>
      <c r="E44" s="154">
        <v>1214.0</v>
      </c>
      <c r="F44" s="152"/>
      <c r="G44" s="155"/>
      <c r="H44" s="153" t="s">
        <v>302</v>
      </c>
      <c r="I44" s="153" t="s">
        <v>246</v>
      </c>
      <c r="J44" s="156">
        <v>42.0</v>
      </c>
      <c r="K44" s="157" t="s">
        <v>247</v>
      </c>
      <c r="L44" s="158" t="s">
        <v>303</v>
      </c>
      <c r="M44" s="158"/>
      <c r="N44" s="158"/>
      <c r="O44" s="158"/>
      <c r="P44" s="158"/>
      <c r="Q44" s="158"/>
      <c r="R44" s="158"/>
      <c r="S44" s="158"/>
      <c r="T44" s="158"/>
    </row>
    <row r="45">
      <c r="A45" s="152"/>
      <c r="B45" s="153"/>
      <c r="C45" s="152"/>
      <c r="D45" s="152"/>
      <c r="E45" s="154">
        <v>1215.0</v>
      </c>
      <c r="F45" s="152"/>
      <c r="G45" s="155"/>
      <c r="H45" s="153" t="s">
        <v>304</v>
      </c>
      <c r="I45" s="153" t="s">
        <v>182</v>
      </c>
      <c r="J45" s="156">
        <v>43.0</v>
      </c>
      <c r="K45" s="157" t="s">
        <v>305</v>
      </c>
      <c r="L45" s="158" t="s">
        <v>306</v>
      </c>
      <c r="M45" s="158"/>
      <c r="N45" s="158"/>
      <c r="O45" s="158"/>
      <c r="P45" s="158"/>
      <c r="Q45" s="158"/>
      <c r="R45" s="158"/>
      <c r="S45" s="158"/>
      <c r="T45" s="158"/>
    </row>
    <row r="46">
      <c r="A46" s="152"/>
      <c r="B46" s="153"/>
      <c r="C46" s="152"/>
      <c r="D46" s="152"/>
      <c r="E46" s="154">
        <v>1216.0</v>
      </c>
      <c r="F46" s="152"/>
      <c r="G46" s="155"/>
      <c r="H46" s="153" t="s">
        <v>307</v>
      </c>
      <c r="I46" s="153" t="s">
        <v>156</v>
      </c>
      <c r="J46" s="156">
        <v>44.0</v>
      </c>
      <c r="K46" s="157" t="s">
        <v>308</v>
      </c>
      <c r="L46" s="158" t="s">
        <v>309</v>
      </c>
      <c r="M46" s="158"/>
      <c r="N46" s="158"/>
      <c r="O46" s="158"/>
      <c r="P46" s="158"/>
      <c r="Q46" s="158"/>
      <c r="R46" s="158"/>
      <c r="S46" s="158"/>
      <c r="T46" s="158"/>
    </row>
    <row r="47">
      <c r="A47" s="152"/>
      <c r="B47" s="153"/>
      <c r="C47" s="152"/>
      <c r="D47" s="152"/>
      <c r="E47" s="154">
        <v>1221.0</v>
      </c>
      <c r="F47" s="152"/>
      <c r="G47" s="155"/>
      <c r="H47" s="153" t="s">
        <v>310</v>
      </c>
      <c r="I47" s="153" t="s">
        <v>167</v>
      </c>
      <c r="J47" s="156">
        <v>45.0</v>
      </c>
      <c r="K47" s="157" t="s">
        <v>311</v>
      </c>
      <c r="L47" s="158" t="s">
        <v>312</v>
      </c>
      <c r="M47" s="158"/>
      <c r="N47" s="158"/>
      <c r="O47" s="158"/>
      <c r="P47" s="158"/>
      <c r="Q47" s="158"/>
      <c r="R47" s="158"/>
      <c r="S47" s="158"/>
      <c r="T47" s="158"/>
    </row>
    <row r="48">
      <c r="A48" s="152"/>
      <c r="B48" s="153"/>
      <c r="C48" s="152"/>
      <c r="D48" s="152"/>
      <c r="E48" s="154">
        <v>1222.0</v>
      </c>
      <c r="F48" s="152"/>
      <c r="G48" s="155"/>
      <c r="H48" s="153" t="s">
        <v>313</v>
      </c>
      <c r="I48" s="153" t="s">
        <v>246</v>
      </c>
      <c r="J48" s="156">
        <v>46.0</v>
      </c>
      <c r="K48" s="157" t="s">
        <v>314</v>
      </c>
      <c r="L48" s="158" t="s">
        <v>315</v>
      </c>
      <c r="M48" s="158"/>
      <c r="N48" s="158"/>
      <c r="O48" s="158"/>
      <c r="P48" s="158"/>
      <c r="Q48" s="158"/>
      <c r="R48" s="158"/>
      <c r="S48" s="158"/>
      <c r="T48" s="158"/>
    </row>
    <row r="49">
      <c r="A49" s="152"/>
      <c r="B49" s="153"/>
      <c r="C49" s="152"/>
      <c r="D49" s="152"/>
      <c r="E49" s="154">
        <v>1223.0</v>
      </c>
      <c r="F49" s="152"/>
      <c r="G49" s="155"/>
      <c r="H49" s="153" t="s">
        <v>316</v>
      </c>
      <c r="I49" s="153" t="s">
        <v>182</v>
      </c>
      <c r="J49" s="156">
        <v>47.0</v>
      </c>
      <c r="K49" s="157" t="s">
        <v>317</v>
      </c>
      <c r="L49" s="153" t="s">
        <v>318</v>
      </c>
      <c r="M49" s="153"/>
      <c r="N49" s="153"/>
      <c r="O49" s="153"/>
      <c r="P49" s="153"/>
      <c r="Q49" s="153"/>
      <c r="R49" s="153"/>
      <c r="S49" s="153"/>
      <c r="T49" s="153"/>
    </row>
    <row r="50">
      <c r="A50" s="152"/>
      <c r="B50" s="153"/>
      <c r="C50" s="152"/>
      <c r="D50" s="152"/>
      <c r="E50" s="154">
        <v>1224.0</v>
      </c>
      <c r="F50" s="152"/>
      <c r="G50" s="155"/>
      <c r="H50" s="153" t="s">
        <v>319</v>
      </c>
      <c r="I50" s="153" t="s">
        <v>182</v>
      </c>
      <c r="J50" s="156">
        <v>48.0</v>
      </c>
      <c r="K50" s="157" t="s">
        <v>320</v>
      </c>
      <c r="L50" s="158" t="s">
        <v>321</v>
      </c>
      <c r="M50" s="158"/>
      <c r="N50" s="158"/>
      <c r="O50" s="158"/>
      <c r="P50" s="158"/>
      <c r="Q50" s="158"/>
      <c r="R50" s="158"/>
      <c r="S50" s="158"/>
      <c r="T50" s="158"/>
    </row>
    <row r="51">
      <c r="A51" s="152"/>
      <c r="B51" s="153"/>
      <c r="C51" s="152"/>
      <c r="D51" s="152"/>
      <c r="E51" s="154">
        <v>1225.0</v>
      </c>
      <c r="F51" s="152"/>
      <c r="G51" s="155"/>
      <c r="H51" s="153" t="s">
        <v>322</v>
      </c>
      <c r="I51" s="153" t="s">
        <v>167</v>
      </c>
      <c r="J51" s="156">
        <v>49.0</v>
      </c>
      <c r="K51" s="157" t="s">
        <v>323</v>
      </c>
      <c r="L51" s="158" t="s">
        <v>324</v>
      </c>
      <c r="M51" s="158"/>
      <c r="N51" s="158"/>
      <c r="O51" s="158"/>
      <c r="P51" s="158"/>
      <c r="Q51" s="158"/>
      <c r="R51" s="158"/>
      <c r="S51" s="158"/>
      <c r="T51" s="158"/>
    </row>
    <row r="52">
      <c r="A52" s="152"/>
      <c r="B52" s="153"/>
      <c r="C52" s="152"/>
      <c r="D52" s="152"/>
      <c r="E52" s="154">
        <v>1226.0</v>
      </c>
      <c r="F52" s="152"/>
      <c r="G52" s="155"/>
      <c r="H52" s="153" t="s">
        <v>325</v>
      </c>
      <c r="I52" s="153" t="s">
        <v>188</v>
      </c>
      <c r="J52" s="156">
        <v>50.0</v>
      </c>
      <c r="K52" s="157" t="s">
        <v>326</v>
      </c>
      <c r="L52" s="153" t="s">
        <v>327</v>
      </c>
      <c r="M52" s="153"/>
      <c r="N52" s="153"/>
      <c r="O52" s="153"/>
      <c r="P52" s="153"/>
      <c r="Q52" s="153"/>
      <c r="R52" s="153"/>
      <c r="S52" s="153"/>
      <c r="T52" s="153"/>
    </row>
    <row r="53">
      <c r="A53" s="152"/>
      <c r="B53" s="153"/>
      <c r="C53" s="152"/>
      <c r="D53" s="152"/>
      <c r="E53" s="154">
        <v>1231.0</v>
      </c>
      <c r="F53" s="152"/>
      <c r="G53" s="155"/>
      <c r="H53" s="153" t="s">
        <v>328</v>
      </c>
      <c r="I53" s="153" t="s">
        <v>167</v>
      </c>
      <c r="J53" s="156">
        <v>51.0</v>
      </c>
      <c r="K53" s="157" t="s">
        <v>329</v>
      </c>
      <c r="L53" s="158" t="s">
        <v>330</v>
      </c>
      <c r="M53" s="158"/>
      <c r="N53" s="158"/>
      <c r="O53" s="158"/>
      <c r="P53" s="158"/>
      <c r="Q53" s="158"/>
      <c r="R53" s="158"/>
      <c r="S53" s="158"/>
      <c r="T53" s="158"/>
    </row>
    <row r="54">
      <c r="A54" s="152"/>
      <c r="B54" s="153"/>
      <c r="C54" s="152"/>
      <c r="D54" s="152"/>
      <c r="E54" s="154">
        <v>1232.0</v>
      </c>
      <c r="F54" s="152"/>
      <c r="G54" s="155"/>
      <c r="H54" s="153" t="s">
        <v>331</v>
      </c>
      <c r="I54" s="153" t="s">
        <v>167</v>
      </c>
      <c r="J54" s="156">
        <v>52.0</v>
      </c>
      <c r="K54" s="157" t="s">
        <v>332</v>
      </c>
      <c r="L54" s="158" t="s">
        <v>333</v>
      </c>
      <c r="M54" s="158"/>
      <c r="N54" s="158"/>
      <c r="O54" s="158"/>
      <c r="P54" s="158"/>
      <c r="Q54" s="158"/>
      <c r="R54" s="158"/>
      <c r="S54" s="158"/>
      <c r="T54" s="158"/>
    </row>
    <row r="55">
      <c r="A55" s="152"/>
      <c r="B55" s="153"/>
      <c r="C55" s="152"/>
      <c r="D55" s="152"/>
      <c r="E55" s="154">
        <v>1233.0</v>
      </c>
      <c r="F55" s="152"/>
      <c r="G55" s="155"/>
      <c r="H55" s="153" t="s">
        <v>334</v>
      </c>
      <c r="I55" s="153" t="s">
        <v>230</v>
      </c>
      <c r="J55" s="156">
        <v>53.0</v>
      </c>
      <c r="K55" s="157" t="s">
        <v>335</v>
      </c>
      <c r="L55" s="158" t="s">
        <v>336</v>
      </c>
      <c r="M55" s="158"/>
      <c r="N55" s="158"/>
      <c r="O55" s="158"/>
      <c r="P55" s="158"/>
      <c r="Q55" s="158"/>
      <c r="R55" s="158"/>
      <c r="S55" s="158"/>
      <c r="T55" s="158"/>
    </row>
    <row r="56">
      <c r="A56" s="152"/>
      <c r="B56" s="153"/>
      <c r="C56" s="152"/>
      <c r="D56" s="152"/>
      <c r="E56" s="154">
        <v>1234.0</v>
      </c>
      <c r="F56" s="152"/>
      <c r="G56" s="155"/>
      <c r="H56" s="153" t="s">
        <v>337</v>
      </c>
      <c r="I56" s="153" t="s">
        <v>167</v>
      </c>
      <c r="J56" s="156">
        <v>54.0</v>
      </c>
      <c r="K56" s="157" t="s">
        <v>338</v>
      </c>
      <c r="L56" s="158" t="s">
        <v>339</v>
      </c>
      <c r="M56" s="158"/>
      <c r="N56" s="158"/>
      <c r="O56" s="158"/>
      <c r="P56" s="158"/>
      <c r="Q56" s="158"/>
      <c r="R56" s="158"/>
      <c r="S56" s="158"/>
      <c r="T56" s="158"/>
    </row>
    <row r="57">
      <c r="A57" s="152"/>
      <c r="B57" s="153"/>
      <c r="C57" s="152"/>
      <c r="D57" s="152"/>
      <c r="E57" s="154">
        <v>1235.0</v>
      </c>
      <c r="F57" s="152"/>
      <c r="G57" s="155"/>
      <c r="H57" s="153" t="s">
        <v>340</v>
      </c>
      <c r="I57" s="153" t="s">
        <v>167</v>
      </c>
      <c r="J57" s="156">
        <v>55.0</v>
      </c>
      <c r="K57" s="157" t="s">
        <v>341</v>
      </c>
      <c r="L57" s="158" t="s">
        <v>342</v>
      </c>
      <c r="M57" s="158"/>
      <c r="N57" s="158"/>
      <c r="O57" s="158"/>
      <c r="P57" s="158"/>
      <c r="Q57" s="158"/>
      <c r="R57" s="158"/>
      <c r="S57" s="158"/>
      <c r="T57" s="158"/>
    </row>
    <row r="58">
      <c r="A58" s="152"/>
      <c r="B58" s="153"/>
      <c r="C58" s="152"/>
      <c r="D58" s="152"/>
      <c r="E58" s="154">
        <v>1236.0</v>
      </c>
      <c r="F58" s="152"/>
      <c r="G58" s="155"/>
      <c r="H58" s="153" t="s">
        <v>343</v>
      </c>
      <c r="I58" s="153" t="s">
        <v>167</v>
      </c>
      <c r="J58" s="156">
        <v>56.0</v>
      </c>
      <c r="K58" s="157" t="s">
        <v>344</v>
      </c>
      <c r="L58" s="158" t="s">
        <v>345</v>
      </c>
      <c r="M58" s="158"/>
      <c r="N58" s="158"/>
      <c r="O58" s="158"/>
      <c r="P58" s="158"/>
      <c r="Q58" s="158"/>
      <c r="R58" s="158"/>
      <c r="S58" s="158"/>
      <c r="T58" s="158"/>
    </row>
    <row r="59">
      <c r="A59" s="152"/>
      <c r="B59" s="153"/>
      <c r="C59" s="152"/>
      <c r="D59" s="152"/>
      <c r="E59" s="154">
        <v>1241.0</v>
      </c>
      <c r="F59" s="152"/>
      <c r="G59" s="155"/>
      <c r="H59" s="153" t="s">
        <v>346</v>
      </c>
      <c r="I59" s="153" t="s">
        <v>167</v>
      </c>
      <c r="J59" s="156">
        <v>57.0</v>
      </c>
      <c r="K59" s="157" t="s">
        <v>347</v>
      </c>
      <c r="L59" s="158" t="s">
        <v>348</v>
      </c>
      <c r="M59" s="158"/>
      <c r="N59" s="158"/>
      <c r="O59" s="158"/>
      <c r="P59" s="158"/>
      <c r="Q59" s="158"/>
      <c r="R59" s="158"/>
      <c r="S59" s="158"/>
      <c r="T59" s="158"/>
    </row>
    <row r="60">
      <c r="A60" s="152"/>
      <c r="B60" s="153"/>
      <c r="C60" s="152"/>
      <c r="D60" s="152"/>
      <c r="E60" s="154">
        <v>1242.0</v>
      </c>
      <c r="F60" s="152"/>
      <c r="G60" s="155"/>
      <c r="H60" s="153" t="s">
        <v>349</v>
      </c>
      <c r="I60" s="153" t="s">
        <v>167</v>
      </c>
      <c r="J60" s="156">
        <v>58.0</v>
      </c>
      <c r="K60" s="157" t="s">
        <v>350</v>
      </c>
      <c r="L60" s="153" t="s">
        <v>351</v>
      </c>
      <c r="M60" s="153"/>
      <c r="N60" s="153"/>
      <c r="O60" s="153"/>
      <c r="P60" s="153"/>
      <c r="Q60" s="153"/>
      <c r="R60" s="153"/>
      <c r="S60" s="153"/>
      <c r="T60" s="153"/>
    </row>
    <row r="61">
      <c r="A61" s="152"/>
      <c r="B61" s="153"/>
      <c r="C61" s="152"/>
      <c r="D61" s="152"/>
      <c r="E61" s="154">
        <v>1243.0</v>
      </c>
      <c r="F61" s="152"/>
      <c r="G61" s="155"/>
      <c r="H61" s="153" t="s">
        <v>352</v>
      </c>
      <c r="I61" s="153" t="s">
        <v>188</v>
      </c>
      <c r="J61" s="156">
        <v>59.0</v>
      </c>
      <c r="K61" s="157" t="s">
        <v>353</v>
      </c>
      <c r="L61" s="158" t="s">
        <v>354</v>
      </c>
      <c r="M61" s="158"/>
      <c r="N61" s="158"/>
      <c r="O61" s="158"/>
      <c r="P61" s="158"/>
      <c r="Q61" s="158"/>
      <c r="R61" s="158"/>
      <c r="S61" s="158"/>
      <c r="T61" s="158"/>
    </row>
    <row r="62">
      <c r="A62" s="152"/>
      <c r="B62" s="153"/>
      <c r="C62" s="152"/>
      <c r="D62" s="152"/>
      <c r="E62" s="154">
        <v>1244.0</v>
      </c>
      <c r="F62" s="152"/>
      <c r="G62" s="155"/>
      <c r="H62" s="153" t="s">
        <v>355</v>
      </c>
      <c r="I62" s="153" t="s">
        <v>246</v>
      </c>
      <c r="J62" s="156">
        <v>60.0</v>
      </c>
      <c r="K62" s="157" t="s">
        <v>356</v>
      </c>
      <c r="L62" s="158" t="s">
        <v>357</v>
      </c>
      <c r="M62" s="158"/>
      <c r="N62" s="158"/>
      <c r="O62" s="158"/>
      <c r="P62" s="158"/>
      <c r="Q62" s="158"/>
      <c r="R62" s="158"/>
      <c r="S62" s="158"/>
      <c r="T62" s="158"/>
    </row>
    <row r="63">
      <c r="A63" s="152"/>
      <c r="B63" s="153"/>
      <c r="C63" s="152"/>
      <c r="D63" s="152"/>
      <c r="E63" s="154">
        <v>1245.0</v>
      </c>
      <c r="F63" s="152"/>
      <c r="G63" s="155"/>
      <c r="H63" s="153" t="s">
        <v>358</v>
      </c>
      <c r="I63" s="153" t="s">
        <v>167</v>
      </c>
      <c r="J63" s="156">
        <v>61.0</v>
      </c>
      <c r="K63" s="157" t="s">
        <v>359</v>
      </c>
      <c r="L63" s="158" t="s">
        <v>360</v>
      </c>
      <c r="M63" s="158"/>
      <c r="N63" s="158"/>
      <c r="O63" s="158"/>
      <c r="P63" s="158"/>
      <c r="Q63" s="158"/>
      <c r="R63" s="158"/>
      <c r="S63" s="158"/>
      <c r="T63" s="158"/>
    </row>
    <row r="64">
      <c r="A64" s="152"/>
      <c r="B64" s="153"/>
      <c r="C64" s="152"/>
      <c r="D64" s="152"/>
      <c r="E64" s="154">
        <v>1246.0</v>
      </c>
      <c r="F64" s="152"/>
      <c r="G64" s="155"/>
      <c r="H64" s="153" t="s">
        <v>361</v>
      </c>
      <c r="I64" s="153" t="s">
        <v>230</v>
      </c>
      <c r="J64" s="156">
        <v>62.0</v>
      </c>
      <c r="K64" s="157" t="s">
        <v>362</v>
      </c>
      <c r="L64" s="153" t="s">
        <v>363</v>
      </c>
      <c r="M64" s="153"/>
      <c r="N64" s="153"/>
      <c r="O64" s="153"/>
      <c r="P64" s="153"/>
      <c r="Q64" s="153"/>
      <c r="R64" s="153"/>
      <c r="S64" s="153"/>
      <c r="T64" s="153"/>
    </row>
    <row r="65">
      <c r="A65" s="152"/>
      <c r="B65" s="153"/>
      <c r="C65" s="152"/>
      <c r="D65" s="152"/>
      <c r="E65" s="154">
        <v>1251.0</v>
      </c>
      <c r="F65" s="152"/>
      <c r="G65" s="155"/>
      <c r="H65" s="153" t="s">
        <v>364</v>
      </c>
      <c r="I65" s="153" t="s">
        <v>246</v>
      </c>
      <c r="J65" s="156">
        <v>63.0</v>
      </c>
      <c r="K65" s="157" t="s">
        <v>365</v>
      </c>
      <c r="L65" s="153" t="s">
        <v>366</v>
      </c>
      <c r="M65" s="153"/>
      <c r="N65" s="153"/>
      <c r="O65" s="153"/>
      <c r="P65" s="153"/>
      <c r="Q65" s="153"/>
      <c r="R65" s="153"/>
      <c r="S65" s="153"/>
      <c r="T65" s="153"/>
    </row>
    <row r="66">
      <c r="A66" s="152"/>
      <c r="B66" s="153"/>
      <c r="C66" s="152"/>
      <c r="D66" s="152"/>
      <c r="E66" s="154">
        <v>1252.0</v>
      </c>
      <c r="F66" s="152"/>
      <c r="G66" s="155"/>
      <c r="H66" s="153" t="s">
        <v>367</v>
      </c>
      <c r="I66" s="153" t="s">
        <v>230</v>
      </c>
      <c r="J66" s="156">
        <v>64.0</v>
      </c>
      <c r="K66" s="157" t="s">
        <v>368</v>
      </c>
      <c r="L66" s="153" t="s">
        <v>369</v>
      </c>
      <c r="M66" s="153"/>
      <c r="N66" s="153"/>
      <c r="O66" s="153"/>
      <c r="P66" s="153"/>
      <c r="Q66" s="153"/>
      <c r="R66" s="153"/>
      <c r="S66" s="153"/>
      <c r="T66" s="153"/>
    </row>
    <row r="67">
      <c r="A67" s="152"/>
      <c r="B67" s="153"/>
      <c r="C67" s="152"/>
      <c r="D67" s="152"/>
      <c r="E67" s="154">
        <v>1253.0</v>
      </c>
      <c r="F67" s="152"/>
      <c r="G67" s="155"/>
      <c r="H67" s="153" t="s">
        <v>370</v>
      </c>
      <c r="I67" s="153" t="s">
        <v>156</v>
      </c>
      <c r="J67" s="156">
        <v>65.0</v>
      </c>
      <c r="K67" s="157" t="s">
        <v>371</v>
      </c>
      <c r="L67" s="158" t="s">
        <v>372</v>
      </c>
      <c r="M67" s="158"/>
      <c r="N67" s="158"/>
      <c r="O67" s="158"/>
      <c r="P67" s="158"/>
      <c r="Q67" s="158"/>
      <c r="R67" s="158"/>
      <c r="S67" s="158"/>
      <c r="T67" s="158"/>
    </row>
    <row r="68">
      <c r="A68" s="152"/>
      <c r="B68" s="153"/>
      <c r="C68" s="152"/>
      <c r="D68" s="152"/>
      <c r="E68" s="154">
        <v>1254.0</v>
      </c>
      <c r="F68" s="152"/>
      <c r="G68" s="155"/>
      <c r="H68" s="153" t="s">
        <v>373</v>
      </c>
      <c r="I68" s="153" t="s">
        <v>167</v>
      </c>
      <c r="J68" s="156">
        <v>66.0</v>
      </c>
      <c r="K68" s="157" t="s">
        <v>374</v>
      </c>
      <c r="L68" s="158" t="s">
        <v>375</v>
      </c>
      <c r="M68" s="158"/>
      <c r="N68" s="158"/>
      <c r="O68" s="158"/>
      <c r="P68" s="158"/>
      <c r="Q68" s="158"/>
      <c r="R68" s="158"/>
      <c r="S68" s="158"/>
      <c r="T68" s="158"/>
    </row>
    <row r="69">
      <c r="A69" s="152"/>
      <c r="B69" s="153"/>
      <c r="C69" s="152"/>
      <c r="D69" s="152"/>
      <c r="E69" s="154">
        <v>1255.0</v>
      </c>
      <c r="F69" s="152"/>
      <c r="G69" s="155"/>
      <c r="H69" s="153" t="s">
        <v>376</v>
      </c>
      <c r="I69" s="153" t="s">
        <v>167</v>
      </c>
      <c r="J69" s="156">
        <v>67.0</v>
      </c>
      <c r="K69" s="157" t="s">
        <v>377</v>
      </c>
      <c r="L69" s="158" t="s">
        <v>378</v>
      </c>
      <c r="M69" s="158"/>
      <c r="N69" s="158"/>
      <c r="O69" s="158"/>
      <c r="P69" s="158"/>
      <c r="Q69" s="158"/>
      <c r="R69" s="158"/>
      <c r="S69" s="158"/>
      <c r="T69" s="158"/>
    </row>
    <row r="70">
      <c r="A70" s="152"/>
      <c r="B70" s="153"/>
      <c r="C70" s="152"/>
      <c r="D70" s="152"/>
      <c r="E70" s="154">
        <v>1256.0</v>
      </c>
      <c r="F70" s="152"/>
      <c r="G70" s="155"/>
      <c r="H70" s="153" t="s">
        <v>379</v>
      </c>
      <c r="I70" s="153" t="s">
        <v>167</v>
      </c>
      <c r="J70" s="156">
        <v>68.0</v>
      </c>
      <c r="K70" s="157" t="s">
        <v>380</v>
      </c>
      <c r="L70" s="158" t="s">
        <v>381</v>
      </c>
      <c r="M70" s="158"/>
      <c r="N70" s="158"/>
      <c r="O70" s="158"/>
      <c r="P70" s="158"/>
      <c r="Q70" s="158"/>
      <c r="R70" s="158"/>
      <c r="S70" s="158"/>
      <c r="T70" s="158"/>
    </row>
    <row r="71">
      <c r="A71" s="152"/>
      <c r="B71" s="153"/>
      <c r="C71" s="152"/>
      <c r="D71" s="152"/>
      <c r="E71" s="154">
        <v>1261.0</v>
      </c>
      <c r="F71" s="152"/>
      <c r="G71" s="155"/>
      <c r="H71" s="153" t="s">
        <v>72</v>
      </c>
      <c r="I71" s="153" t="s">
        <v>182</v>
      </c>
      <c r="J71" s="156">
        <v>69.0</v>
      </c>
      <c r="K71" s="157" t="s">
        <v>382</v>
      </c>
      <c r="L71" s="158" t="s">
        <v>383</v>
      </c>
      <c r="M71" s="158"/>
      <c r="N71" s="158"/>
      <c r="O71" s="158"/>
      <c r="P71" s="158"/>
      <c r="Q71" s="158"/>
      <c r="R71" s="158"/>
      <c r="S71" s="158"/>
      <c r="T71" s="158"/>
    </row>
    <row r="72">
      <c r="A72" s="152"/>
      <c r="B72" s="153"/>
      <c r="C72" s="152"/>
      <c r="D72" s="152"/>
      <c r="E72" s="154">
        <v>1262.0</v>
      </c>
      <c r="F72" s="152"/>
      <c r="G72" s="155"/>
      <c r="H72" s="153" t="s">
        <v>384</v>
      </c>
      <c r="I72" s="153" t="s">
        <v>182</v>
      </c>
      <c r="J72" s="156">
        <v>70.0</v>
      </c>
      <c r="K72" s="157" t="s">
        <v>385</v>
      </c>
      <c r="L72" s="158" t="s">
        <v>386</v>
      </c>
      <c r="M72" s="158"/>
      <c r="N72" s="158"/>
      <c r="O72" s="158"/>
      <c r="P72" s="158"/>
      <c r="Q72" s="158"/>
      <c r="R72" s="158"/>
      <c r="S72" s="158"/>
      <c r="T72" s="158"/>
    </row>
    <row r="73">
      <c r="A73" s="152"/>
      <c r="B73" s="153"/>
      <c r="C73" s="152"/>
      <c r="D73" s="152"/>
      <c r="E73" s="154">
        <v>1263.0</v>
      </c>
      <c r="F73" s="152"/>
      <c r="G73" s="155"/>
      <c r="H73" s="153" t="s">
        <v>65</v>
      </c>
      <c r="I73" s="153" t="s">
        <v>246</v>
      </c>
      <c r="J73" s="156">
        <v>71.0</v>
      </c>
      <c r="K73" s="157" t="s">
        <v>387</v>
      </c>
      <c r="L73" s="158" t="s">
        <v>388</v>
      </c>
      <c r="M73" s="158"/>
      <c r="N73" s="158"/>
      <c r="O73" s="158"/>
      <c r="P73" s="158"/>
      <c r="Q73" s="158"/>
      <c r="R73" s="158"/>
      <c r="S73" s="158"/>
      <c r="T73" s="158"/>
    </row>
    <row r="74">
      <c r="A74" s="152"/>
      <c r="B74" s="153"/>
      <c r="C74" s="152"/>
      <c r="D74" s="152"/>
      <c r="E74" s="154">
        <v>1264.0</v>
      </c>
      <c r="F74" s="152"/>
      <c r="G74" s="155"/>
      <c r="H74" s="153" t="s">
        <v>58</v>
      </c>
      <c r="I74" s="153" t="s">
        <v>188</v>
      </c>
      <c r="J74" s="156">
        <v>72.0</v>
      </c>
      <c r="K74" s="157" t="s">
        <v>389</v>
      </c>
      <c r="L74" s="158" t="s">
        <v>390</v>
      </c>
      <c r="M74" s="158"/>
      <c r="N74" s="158"/>
      <c r="O74" s="158"/>
      <c r="P74" s="158"/>
      <c r="Q74" s="158"/>
      <c r="R74" s="158"/>
      <c r="S74" s="158"/>
      <c r="T74" s="158"/>
    </row>
    <row r="75">
      <c r="A75" s="152"/>
      <c r="B75" s="153"/>
      <c r="C75" s="152"/>
      <c r="D75" s="152"/>
      <c r="E75" s="154">
        <v>1265.0</v>
      </c>
      <c r="F75" s="152"/>
      <c r="G75" s="155"/>
      <c r="H75" s="153" t="s">
        <v>391</v>
      </c>
      <c r="I75" s="153" t="s">
        <v>167</v>
      </c>
      <c r="J75" s="156">
        <v>73.0</v>
      </c>
      <c r="K75" s="157" t="s">
        <v>392</v>
      </c>
      <c r="L75" s="158" t="s">
        <v>393</v>
      </c>
      <c r="M75" s="158"/>
      <c r="N75" s="158"/>
      <c r="O75" s="158"/>
      <c r="P75" s="158"/>
      <c r="Q75" s="158"/>
      <c r="R75" s="158"/>
      <c r="S75" s="158"/>
      <c r="T75" s="158"/>
    </row>
    <row r="76">
      <c r="A76" s="152"/>
      <c r="B76" s="153"/>
      <c r="C76" s="152"/>
      <c r="D76" s="152"/>
      <c r="E76" s="154">
        <v>1266.0</v>
      </c>
      <c r="F76" s="152"/>
      <c r="G76" s="155"/>
      <c r="H76" s="153" t="s">
        <v>394</v>
      </c>
      <c r="I76" s="153" t="s">
        <v>167</v>
      </c>
      <c r="J76" s="156">
        <v>74.0</v>
      </c>
      <c r="K76" s="157" t="s">
        <v>395</v>
      </c>
      <c r="L76" s="158" t="s">
        <v>396</v>
      </c>
      <c r="M76" s="158"/>
      <c r="N76" s="158"/>
      <c r="O76" s="158"/>
      <c r="P76" s="158"/>
      <c r="Q76" s="158"/>
      <c r="R76" s="158"/>
      <c r="S76" s="158"/>
      <c r="T76" s="158"/>
    </row>
    <row r="77">
      <c r="A77" s="152"/>
      <c r="B77" s="153"/>
      <c r="C77" s="152"/>
      <c r="D77" s="152"/>
      <c r="E77" s="154">
        <v>1311.0</v>
      </c>
      <c r="F77" s="152"/>
      <c r="G77" s="155"/>
      <c r="H77" s="153" t="s">
        <v>397</v>
      </c>
      <c r="I77" s="153" t="s">
        <v>246</v>
      </c>
      <c r="J77" s="156">
        <v>75.0</v>
      </c>
      <c r="K77" s="157" t="s">
        <v>398</v>
      </c>
      <c r="L77" s="158" t="s">
        <v>399</v>
      </c>
      <c r="M77" s="158"/>
      <c r="N77" s="158"/>
      <c r="O77" s="158"/>
      <c r="P77" s="158"/>
      <c r="Q77" s="158"/>
      <c r="R77" s="158"/>
      <c r="S77" s="158"/>
      <c r="T77" s="158"/>
    </row>
    <row r="78">
      <c r="A78" s="152"/>
      <c r="B78" s="153"/>
      <c r="C78" s="152"/>
      <c r="D78" s="152"/>
      <c r="E78" s="154">
        <v>1312.0</v>
      </c>
      <c r="F78" s="152"/>
      <c r="G78" s="155"/>
      <c r="H78" s="153" t="s">
        <v>400</v>
      </c>
      <c r="I78" s="153" t="s">
        <v>401</v>
      </c>
      <c r="J78" s="156">
        <v>76.0</v>
      </c>
      <c r="K78" s="157" t="s">
        <v>402</v>
      </c>
      <c r="L78" s="158" t="s">
        <v>403</v>
      </c>
      <c r="M78" s="158"/>
      <c r="N78" s="158"/>
      <c r="O78" s="158"/>
      <c r="P78" s="158"/>
      <c r="Q78" s="158"/>
      <c r="R78" s="158"/>
      <c r="S78" s="158"/>
      <c r="T78" s="158"/>
    </row>
    <row r="79">
      <c r="A79" s="152"/>
      <c r="B79" s="153"/>
      <c r="C79" s="152"/>
      <c r="D79" s="152"/>
      <c r="E79" s="154">
        <v>1313.0</v>
      </c>
      <c r="F79" s="152"/>
      <c r="G79" s="155"/>
      <c r="H79" s="153" t="s">
        <v>66</v>
      </c>
      <c r="I79" s="153" t="s">
        <v>401</v>
      </c>
      <c r="J79" s="156">
        <v>77.0</v>
      </c>
      <c r="K79" s="157" t="s">
        <v>404</v>
      </c>
      <c r="L79" s="158" t="s">
        <v>405</v>
      </c>
      <c r="M79" s="158"/>
      <c r="N79" s="158"/>
      <c r="O79" s="158"/>
      <c r="P79" s="158"/>
      <c r="Q79" s="158"/>
      <c r="R79" s="158"/>
      <c r="S79" s="158"/>
      <c r="T79" s="158"/>
    </row>
    <row r="80">
      <c r="A80" s="152"/>
      <c r="B80" s="153"/>
      <c r="C80" s="152"/>
      <c r="D80" s="152"/>
      <c r="E80" s="154">
        <v>1314.0</v>
      </c>
      <c r="F80" s="152"/>
      <c r="G80" s="155"/>
      <c r="H80" s="153" t="s">
        <v>406</v>
      </c>
      <c r="I80" s="153" t="s">
        <v>188</v>
      </c>
      <c r="J80" s="156">
        <v>78.0</v>
      </c>
      <c r="K80" s="157" t="s">
        <v>407</v>
      </c>
      <c r="L80" s="158" t="s">
        <v>408</v>
      </c>
      <c r="M80" s="158"/>
      <c r="N80" s="158"/>
      <c r="O80" s="158"/>
      <c r="P80" s="158"/>
      <c r="Q80" s="158"/>
      <c r="R80" s="158"/>
      <c r="S80" s="158"/>
      <c r="T80" s="158"/>
    </row>
    <row r="81">
      <c r="A81" s="152"/>
      <c r="B81" s="153"/>
      <c r="C81" s="152"/>
      <c r="D81" s="152"/>
      <c r="E81" s="154">
        <v>1315.0</v>
      </c>
      <c r="F81" s="152"/>
      <c r="G81" s="155"/>
      <c r="H81" s="153" t="s">
        <v>409</v>
      </c>
      <c r="I81" s="153" t="s">
        <v>188</v>
      </c>
      <c r="J81" s="156">
        <v>79.0</v>
      </c>
      <c r="K81" s="157" t="s">
        <v>389</v>
      </c>
      <c r="L81" s="158" t="s">
        <v>410</v>
      </c>
      <c r="M81" s="158"/>
      <c r="N81" s="158"/>
      <c r="O81" s="158"/>
      <c r="P81" s="158"/>
      <c r="Q81" s="158"/>
      <c r="R81" s="158"/>
      <c r="S81" s="158"/>
      <c r="T81" s="158"/>
    </row>
    <row r="82">
      <c r="A82" s="152"/>
      <c r="B82" s="153"/>
      <c r="C82" s="152"/>
      <c r="D82" s="152"/>
      <c r="E82" s="154">
        <v>1316.0</v>
      </c>
      <c r="F82" s="152"/>
      <c r="G82" s="155"/>
      <c r="H82" s="153" t="s">
        <v>411</v>
      </c>
      <c r="I82" s="153" t="s">
        <v>188</v>
      </c>
      <c r="J82" s="156">
        <v>80.0</v>
      </c>
      <c r="K82" s="157" t="s">
        <v>412</v>
      </c>
      <c r="L82" s="153" t="s">
        <v>413</v>
      </c>
      <c r="M82" s="153"/>
      <c r="N82" s="153"/>
      <c r="O82" s="153"/>
      <c r="P82" s="153"/>
      <c r="Q82" s="153"/>
      <c r="R82" s="153"/>
      <c r="S82" s="153"/>
      <c r="T82" s="153"/>
    </row>
    <row r="83">
      <c r="A83" s="152"/>
      <c r="B83" s="153"/>
      <c r="C83" s="152"/>
      <c r="D83" s="152"/>
      <c r="E83" s="154">
        <v>1321.0</v>
      </c>
      <c r="F83" s="152"/>
      <c r="G83" s="155"/>
      <c r="H83" s="153" t="s">
        <v>414</v>
      </c>
      <c r="I83" s="153" t="s">
        <v>415</v>
      </c>
      <c r="J83" s="156">
        <v>81.0</v>
      </c>
      <c r="K83" s="157" t="s">
        <v>416</v>
      </c>
      <c r="L83" s="158" t="s">
        <v>417</v>
      </c>
      <c r="M83" s="158"/>
      <c r="N83" s="158"/>
      <c r="O83" s="158"/>
      <c r="P83" s="158"/>
      <c r="Q83" s="158"/>
      <c r="R83" s="158"/>
      <c r="S83" s="158"/>
      <c r="T83" s="158"/>
    </row>
    <row r="84">
      <c r="A84" s="152"/>
      <c r="B84" s="153"/>
      <c r="C84" s="152"/>
      <c r="D84" s="152"/>
      <c r="E84" s="154">
        <v>1322.0</v>
      </c>
      <c r="F84" s="152"/>
      <c r="G84" s="155"/>
      <c r="H84" s="153" t="s">
        <v>418</v>
      </c>
      <c r="I84" s="153" t="s">
        <v>415</v>
      </c>
      <c r="J84" s="156">
        <v>82.0</v>
      </c>
      <c r="K84" s="157" t="s">
        <v>419</v>
      </c>
      <c r="L84" s="158" t="s">
        <v>420</v>
      </c>
      <c r="M84" s="158"/>
      <c r="N84" s="158"/>
      <c r="O84" s="158"/>
      <c r="P84" s="158"/>
      <c r="Q84" s="158"/>
      <c r="R84" s="158"/>
      <c r="S84" s="158"/>
      <c r="T84" s="158"/>
    </row>
    <row r="85">
      <c r="A85" s="152"/>
      <c r="B85" s="153"/>
      <c r="C85" s="152"/>
      <c r="D85" s="152"/>
      <c r="E85" s="154">
        <v>1323.0</v>
      </c>
      <c r="F85" s="152"/>
      <c r="G85" s="155"/>
      <c r="H85" s="153" t="s">
        <v>421</v>
      </c>
      <c r="I85" s="153" t="s">
        <v>415</v>
      </c>
      <c r="J85" s="156">
        <v>83.0</v>
      </c>
      <c r="K85" s="157" t="s">
        <v>422</v>
      </c>
      <c r="L85" s="158" t="s">
        <v>423</v>
      </c>
      <c r="M85" s="158"/>
      <c r="N85" s="158"/>
      <c r="O85" s="158"/>
      <c r="P85" s="158"/>
      <c r="Q85" s="158"/>
      <c r="R85" s="158"/>
      <c r="S85" s="158"/>
      <c r="T85" s="158"/>
    </row>
    <row r="86">
      <c r="A86" s="152"/>
      <c r="B86" s="153"/>
      <c r="C86" s="152"/>
      <c r="D86" s="152"/>
      <c r="E86" s="154">
        <v>1324.0</v>
      </c>
      <c r="F86" s="152"/>
      <c r="G86" s="155"/>
      <c r="H86" s="153" t="s">
        <v>424</v>
      </c>
      <c r="I86" s="153" t="s">
        <v>182</v>
      </c>
      <c r="J86" s="156">
        <v>84.0</v>
      </c>
      <c r="K86" s="157" t="s">
        <v>425</v>
      </c>
      <c r="L86" s="158" t="s">
        <v>426</v>
      </c>
      <c r="M86" s="158"/>
      <c r="N86" s="158"/>
      <c r="O86" s="158"/>
      <c r="P86" s="158"/>
      <c r="Q86" s="158"/>
      <c r="R86" s="158"/>
      <c r="S86" s="158"/>
      <c r="T86" s="158"/>
    </row>
    <row r="87">
      <c r="A87" s="152"/>
      <c r="B87" s="153"/>
      <c r="C87" s="152"/>
      <c r="D87" s="152"/>
      <c r="E87" s="154">
        <v>1325.0</v>
      </c>
      <c r="F87" s="152"/>
      <c r="G87" s="155"/>
      <c r="H87" s="153" t="s">
        <v>427</v>
      </c>
      <c r="I87" s="153" t="s">
        <v>401</v>
      </c>
      <c r="J87" s="156">
        <v>85.0</v>
      </c>
      <c r="K87" s="157" t="s">
        <v>428</v>
      </c>
      <c r="L87" s="158" t="s">
        <v>429</v>
      </c>
      <c r="M87" s="158"/>
      <c r="N87" s="158"/>
      <c r="O87" s="158"/>
      <c r="P87" s="158"/>
      <c r="Q87" s="158"/>
      <c r="R87" s="158"/>
      <c r="S87" s="158"/>
      <c r="T87" s="158"/>
    </row>
    <row r="88">
      <c r="A88" s="152"/>
      <c r="B88" s="153"/>
      <c r="C88" s="152"/>
      <c r="D88" s="152"/>
      <c r="E88" s="154">
        <v>1326.0</v>
      </c>
      <c r="F88" s="152"/>
      <c r="G88" s="155"/>
      <c r="H88" s="153" t="s">
        <v>430</v>
      </c>
      <c r="I88" s="153" t="s">
        <v>167</v>
      </c>
      <c r="J88" s="156">
        <v>86.0</v>
      </c>
      <c r="K88" s="157" t="s">
        <v>431</v>
      </c>
      <c r="L88" s="158" t="s">
        <v>432</v>
      </c>
      <c r="M88" s="158"/>
      <c r="N88" s="158"/>
      <c r="O88" s="158"/>
      <c r="P88" s="158"/>
      <c r="Q88" s="158"/>
      <c r="R88" s="158"/>
      <c r="S88" s="158"/>
      <c r="T88" s="158"/>
    </row>
    <row r="89">
      <c r="A89" s="152"/>
      <c r="B89" s="153"/>
      <c r="C89" s="152"/>
      <c r="D89" s="152"/>
      <c r="E89" s="154">
        <v>1331.0</v>
      </c>
      <c r="F89" s="152"/>
      <c r="G89" s="155"/>
      <c r="H89" s="153" t="s">
        <v>433</v>
      </c>
      <c r="I89" s="153" t="s">
        <v>434</v>
      </c>
      <c r="J89" s="156">
        <v>87.0</v>
      </c>
      <c r="K89" s="157" t="s">
        <v>435</v>
      </c>
      <c r="L89" s="153" t="s">
        <v>436</v>
      </c>
      <c r="M89" s="153"/>
      <c r="N89" s="153"/>
      <c r="O89" s="153"/>
      <c r="P89" s="153"/>
      <c r="Q89" s="153"/>
      <c r="R89" s="153"/>
      <c r="S89" s="153"/>
      <c r="T89" s="153"/>
    </row>
    <row r="90">
      <c r="A90" s="152"/>
      <c r="B90" s="153"/>
      <c r="C90" s="152"/>
      <c r="D90" s="152"/>
      <c r="E90" s="154">
        <v>1332.0</v>
      </c>
      <c r="F90" s="152"/>
      <c r="G90" s="155"/>
      <c r="H90" s="153" t="s">
        <v>437</v>
      </c>
      <c r="I90" s="153" t="s">
        <v>401</v>
      </c>
      <c r="J90" s="156">
        <v>88.0</v>
      </c>
      <c r="K90" s="157" t="s">
        <v>438</v>
      </c>
      <c r="L90" s="153" t="s">
        <v>439</v>
      </c>
      <c r="M90" s="153"/>
      <c r="N90" s="153"/>
      <c r="O90" s="153"/>
      <c r="P90" s="153"/>
      <c r="Q90" s="153"/>
      <c r="R90" s="153"/>
      <c r="S90" s="153"/>
      <c r="T90" s="153"/>
    </row>
    <row r="91">
      <c r="A91" s="152"/>
      <c r="B91" s="153"/>
      <c r="C91" s="152"/>
      <c r="D91" s="152"/>
      <c r="E91" s="154">
        <v>1333.0</v>
      </c>
      <c r="F91" s="152"/>
      <c r="G91" s="155"/>
      <c r="H91" s="153" t="s">
        <v>440</v>
      </c>
      <c r="I91" s="153" t="s">
        <v>230</v>
      </c>
      <c r="J91" s="156">
        <v>89.0</v>
      </c>
      <c r="K91" s="157" t="s">
        <v>441</v>
      </c>
      <c r="L91" s="158" t="s">
        <v>442</v>
      </c>
      <c r="M91" s="158"/>
      <c r="N91" s="158"/>
      <c r="O91" s="158"/>
      <c r="P91" s="158"/>
      <c r="Q91" s="158"/>
      <c r="R91" s="158"/>
      <c r="S91" s="158"/>
      <c r="T91" s="158"/>
    </row>
    <row r="92">
      <c r="A92" s="152"/>
      <c r="B92" s="153"/>
      <c r="C92" s="152"/>
      <c r="D92" s="152"/>
      <c r="E92" s="154">
        <v>1334.0</v>
      </c>
      <c r="F92" s="152"/>
      <c r="G92" s="155"/>
      <c r="H92" s="153" t="s">
        <v>443</v>
      </c>
      <c r="I92" s="153" t="s">
        <v>167</v>
      </c>
      <c r="J92" s="156">
        <v>90.0</v>
      </c>
      <c r="K92" s="157" t="s">
        <v>444</v>
      </c>
      <c r="L92" s="158" t="s">
        <v>445</v>
      </c>
      <c r="M92" s="158"/>
      <c r="N92" s="158"/>
      <c r="O92" s="158"/>
      <c r="P92" s="158"/>
      <c r="Q92" s="158"/>
      <c r="R92" s="158"/>
      <c r="S92" s="158"/>
      <c r="T92" s="158"/>
    </row>
    <row r="93">
      <c r="A93" s="152"/>
      <c r="B93" s="153"/>
      <c r="C93" s="152"/>
      <c r="D93" s="152"/>
      <c r="E93" s="154">
        <v>1335.0</v>
      </c>
      <c r="F93" s="152"/>
      <c r="G93" s="155"/>
      <c r="H93" s="153" t="s">
        <v>446</v>
      </c>
      <c r="I93" s="153" t="s">
        <v>167</v>
      </c>
      <c r="J93" s="156">
        <v>91.0</v>
      </c>
      <c r="K93" s="157" t="s">
        <v>447</v>
      </c>
      <c r="L93" s="158" t="s">
        <v>448</v>
      </c>
      <c r="M93" s="158"/>
      <c r="N93" s="158"/>
      <c r="O93" s="158"/>
      <c r="P93" s="158"/>
      <c r="Q93" s="158"/>
      <c r="R93" s="158"/>
      <c r="S93" s="158"/>
      <c r="T93" s="158"/>
    </row>
    <row r="94">
      <c r="A94" s="152"/>
      <c r="B94" s="153"/>
      <c r="C94" s="152"/>
      <c r="D94" s="152"/>
      <c r="E94" s="154">
        <v>1336.0</v>
      </c>
      <c r="F94" s="152"/>
      <c r="G94" s="155"/>
      <c r="H94" s="153" t="s">
        <v>449</v>
      </c>
      <c r="I94" s="153" t="s">
        <v>167</v>
      </c>
      <c r="J94" s="156">
        <v>92.0</v>
      </c>
      <c r="K94" s="157" t="s">
        <v>450</v>
      </c>
      <c r="L94" s="158" t="s">
        <v>451</v>
      </c>
      <c r="M94" s="158"/>
      <c r="N94" s="158"/>
      <c r="O94" s="158"/>
      <c r="P94" s="158"/>
      <c r="Q94" s="158"/>
      <c r="R94" s="158"/>
      <c r="S94" s="158"/>
      <c r="T94" s="158"/>
    </row>
    <row r="95">
      <c r="A95" s="152"/>
      <c r="B95" s="153"/>
      <c r="C95" s="152"/>
      <c r="D95" s="152"/>
      <c r="E95" s="154">
        <v>1341.0</v>
      </c>
      <c r="F95" s="152"/>
      <c r="G95" s="155"/>
      <c r="H95" s="153" t="s">
        <v>452</v>
      </c>
      <c r="I95" s="153" t="s">
        <v>453</v>
      </c>
      <c r="J95" s="156">
        <v>93.0</v>
      </c>
      <c r="K95" s="157" t="s">
        <v>454</v>
      </c>
      <c r="L95" s="158" t="s">
        <v>455</v>
      </c>
      <c r="M95" s="158"/>
      <c r="N95" s="158"/>
      <c r="O95" s="158"/>
      <c r="P95" s="158"/>
      <c r="Q95" s="158"/>
      <c r="R95" s="158"/>
      <c r="S95" s="158"/>
      <c r="T95" s="158"/>
    </row>
    <row r="96">
      <c r="A96" s="152"/>
      <c r="B96" s="153"/>
      <c r="C96" s="152"/>
      <c r="D96" s="152"/>
      <c r="E96" s="154">
        <v>1342.0</v>
      </c>
      <c r="F96" s="152"/>
      <c r="G96" s="155"/>
      <c r="H96" s="153" t="s">
        <v>456</v>
      </c>
      <c r="I96" s="153" t="s">
        <v>453</v>
      </c>
      <c r="J96" s="156">
        <v>94.0</v>
      </c>
      <c r="K96" s="157" t="s">
        <v>457</v>
      </c>
      <c r="L96" s="158" t="s">
        <v>458</v>
      </c>
      <c r="M96" s="158"/>
      <c r="N96" s="158"/>
      <c r="O96" s="158"/>
      <c r="P96" s="158"/>
      <c r="Q96" s="158"/>
      <c r="R96" s="158"/>
      <c r="S96" s="158"/>
      <c r="T96" s="158"/>
    </row>
    <row r="97">
      <c r="A97" s="152"/>
      <c r="B97" s="153"/>
      <c r="C97" s="152"/>
      <c r="D97" s="152"/>
      <c r="E97" s="154">
        <v>1343.0</v>
      </c>
      <c r="F97" s="152"/>
      <c r="G97" s="155"/>
      <c r="H97" s="153" t="s">
        <v>459</v>
      </c>
      <c r="I97" s="153" t="s">
        <v>453</v>
      </c>
      <c r="J97" s="156">
        <v>95.0</v>
      </c>
      <c r="K97" s="157" t="s">
        <v>460</v>
      </c>
      <c r="L97" s="158" t="s">
        <v>461</v>
      </c>
      <c r="M97" s="158"/>
      <c r="N97" s="158"/>
      <c r="O97" s="158"/>
      <c r="P97" s="158"/>
      <c r="Q97" s="158"/>
      <c r="R97" s="158"/>
      <c r="S97" s="158"/>
      <c r="T97" s="158"/>
    </row>
    <row r="98">
      <c r="A98" s="152"/>
      <c r="B98" s="153"/>
      <c r="C98" s="152"/>
      <c r="D98" s="152"/>
      <c r="E98" s="154">
        <v>1344.0</v>
      </c>
      <c r="F98" s="152"/>
      <c r="G98" s="155"/>
      <c r="H98" s="153" t="s">
        <v>462</v>
      </c>
      <c r="I98" s="153" t="s">
        <v>463</v>
      </c>
      <c r="J98" s="156">
        <v>96.0</v>
      </c>
      <c r="K98" s="157" t="s">
        <v>464</v>
      </c>
      <c r="L98" s="158" t="s">
        <v>465</v>
      </c>
      <c r="M98" s="158"/>
      <c r="N98" s="158"/>
      <c r="O98" s="158"/>
      <c r="P98" s="158"/>
      <c r="Q98" s="158"/>
      <c r="R98" s="158"/>
      <c r="S98" s="158"/>
      <c r="T98" s="158"/>
    </row>
    <row r="99">
      <c r="A99" s="152"/>
      <c r="B99" s="153"/>
      <c r="C99" s="152"/>
      <c r="D99" s="152"/>
      <c r="E99" s="154">
        <v>1345.0</v>
      </c>
      <c r="F99" s="152"/>
      <c r="G99" s="155"/>
      <c r="H99" s="153" t="s">
        <v>466</v>
      </c>
      <c r="I99" s="153" t="s">
        <v>246</v>
      </c>
      <c r="J99" s="156">
        <v>97.0</v>
      </c>
      <c r="K99" s="157" t="s">
        <v>467</v>
      </c>
      <c r="L99" s="153" t="s">
        <v>468</v>
      </c>
      <c r="M99" s="153"/>
      <c r="N99" s="153"/>
      <c r="O99" s="153"/>
      <c r="P99" s="153"/>
      <c r="Q99" s="153"/>
      <c r="R99" s="153"/>
      <c r="S99" s="153"/>
      <c r="T99" s="153"/>
    </row>
    <row r="100">
      <c r="A100" s="152"/>
      <c r="B100" s="153"/>
      <c r="C100" s="152"/>
      <c r="D100" s="152"/>
      <c r="E100" s="154">
        <v>1346.0</v>
      </c>
      <c r="F100" s="152"/>
      <c r="G100" s="155"/>
      <c r="H100" s="153" t="s">
        <v>469</v>
      </c>
      <c r="I100" s="153" t="s">
        <v>401</v>
      </c>
      <c r="J100" s="156">
        <v>98.0</v>
      </c>
      <c r="K100" s="157" t="s">
        <v>470</v>
      </c>
      <c r="L100" s="158" t="s">
        <v>471</v>
      </c>
      <c r="M100" s="158"/>
      <c r="N100" s="158"/>
      <c r="O100" s="158"/>
      <c r="P100" s="158"/>
      <c r="Q100" s="158"/>
      <c r="R100" s="158"/>
      <c r="S100" s="158"/>
      <c r="T100" s="158"/>
    </row>
    <row r="101">
      <c r="A101" s="152"/>
      <c r="B101" s="153"/>
      <c r="C101" s="152"/>
      <c r="D101" s="152"/>
      <c r="E101" s="154">
        <v>1351.0</v>
      </c>
      <c r="F101" s="152"/>
      <c r="G101" s="155"/>
      <c r="H101" s="153" t="s">
        <v>472</v>
      </c>
      <c r="I101" s="153" t="s">
        <v>226</v>
      </c>
      <c r="J101" s="156">
        <v>99.0</v>
      </c>
      <c r="K101" s="157" t="s">
        <v>473</v>
      </c>
      <c r="L101" s="158" t="s">
        <v>474</v>
      </c>
      <c r="M101" s="158"/>
      <c r="N101" s="158"/>
      <c r="O101" s="158"/>
      <c r="P101" s="158"/>
      <c r="Q101" s="158"/>
      <c r="R101" s="158"/>
      <c r="S101" s="158"/>
      <c r="T101" s="158"/>
    </row>
    <row r="102">
      <c r="A102" s="152"/>
      <c r="B102" s="153"/>
      <c r="C102" s="152"/>
      <c r="D102" s="152"/>
      <c r="E102" s="154">
        <v>1352.0</v>
      </c>
      <c r="F102" s="152"/>
      <c r="G102" s="155"/>
      <c r="H102" s="153" t="s">
        <v>475</v>
      </c>
      <c r="I102" s="153" t="s">
        <v>167</v>
      </c>
      <c r="J102" s="156">
        <v>100.0</v>
      </c>
      <c r="K102" s="157" t="s">
        <v>476</v>
      </c>
      <c r="L102" s="153" t="s">
        <v>477</v>
      </c>
      <c r="M102" s="153"/>
      <c r="N102" s="153"/>
      <c r="O102" s="153"/>
      <c r="P102" s="153"/>
      <c r="Q102" s="153"/>
      <c r="R102" s="153"/>
      <c r="S102" s="153"/>
      <c r="T102" s="153"/>
    </row>
    <row r="103">
      <c r="A103" s="152"/>
      <c r="B103" s="153"/>
      <c r="C103" s="152"/>
      <c r="D103" s="152"/>
      <c r="E103" s="154">
        <v>1353.0</v>
      </c>
      <c r="F103" s="152"/>
      <c r="G103" s="155"/>
      <c r="H103" s="153" t="s">
        <v>478</v>
      </c>
      <c r="I103" s="153" t="s">
        <v>230</v>
      </c>
      <c r="J103" s="156">
        <v>101.0</v>
      </c>
      <c r="K103" s="157" t="s">
        <v>479</v>
      </c>
      <c r="L103" s="158" t="s">
        <v>480</v>
      </c>
      <c r="M103" s="158"/>
      <c r="N103" s="158"/>
      <c r="O103" s="158"/>
      <c r="P103" s="158"/>
      <c r="Q103" s="158"/>
      <c r="R103" s="158"/>
      <c r="S103" s="158"/>
      <c r="T103" s="158"/>
    </row>
    <row r="104">
      <c r="A104" s="152"/>
      <c r="B104" s="153"/>
      <c r="C104" s="152"/>
      <c r="D104" s="152"/>
      <c r="E104" s="154">
        <v>1354.0</v>
      </c>
      <c r="F104" s="152"/>
      <c r="G104" s="155"/>
      <c r="H104" s="153" t="s">
        <v>481</v>
      </c>
      <c r="I104" s="153" t="s">
        <v>246</v>
      </c>
      <c r="J104" s="156">
        <v>102.0</v>
      </c>
      <c r="K104" s="157" t="s">
        <v>482</v>
      </c>
      <c r="L104" s="158" t="s">
        <v>483</v>
      </c>
      <c r="M104" s="158"/>
      <c r="N104" s="158"/>
      <c r="O104" s="158"/>
      <c r="P104" s="158"/>
      <c r="Q104" s="158"/>
      <c r="R104" s="158"/>
      <c r="S104" s="158"/>
      <c r="T104" s="158"/>
    </row>
    <row r="105">
      <c r="A105" s="152"/>
      <c r="B105" s="153"/>
      <c r="C105" s="152"/>
      <c r="D105" s="152"/>
      <c r="E105" s="154">
        <v>1355.0</v>
      </c>
      <c r="F105" s="152"/>
      <c r="G105" s="155"/>
      <c r="H105" s="153" t="s">
        <v>484</v>
      </c>
      <c r="I105" s="153" t="s">
        <v>230</v>
      </c>
      <c r="J105" s="156">
        <v>103.0</v>
      </c>
      <c r="K105" s="157" t="s">
        <v>485</v>
      </c>
      <c r="L105" s="158" t="s">
        <v>486</v>
      </c>
      <c r="M105" s="158"/>
      <c r="N105" s="158"/>
      <c r="O105" s="158"/>
      <c r="P105" s="158"/>
      <c r="Q105" s="158"/>
      <c r="R105" s="158"/>
      <c r="S105" s="158"/>
      <c r="T105" s="158"/>
    </row>
    <row r="106">
      <c r="A106" s="152"/>
      <c r="B106" s="153"/>
      <c r="C106" s="152"/>
      <c r="D106" s="152"/>
      <c r="E106" s="154">
        <v>1356.0</v>
      </c>
      <c r="F106" s="152"/>
      <c r="G106" s="155"/>
      <c r="H106" s="153" t="s">
        <v>487</v>
      </c>
      <c r="I106" s="153" t="s">
        <v>230</v>
      </c>
      <c r="J106" s="156">
        <v>104.0</v>
      </c>
      <c r="K106" s="157" t="s">
        <v>488</v>
      </c>
      <c r="L106" s="158" t="s">
        <v>489</v>
      </c>
      <c r="M106" s="158"/>
      <c r="N106" s="158"/>
      <c r="O106" s="158"/>
      <c r="P106" s="158"/>
      <c r="Q106" s="158"/>
      <c r="R106" s="158"/>
      <c r="S106" s="158"/>
      <c r="T106" s="158"/>
    </row>
    <row r="107">
      <c r="A107" s="152"/>
      <c r="B107" s="153"/>
      <c r="C107" s="152"/>
      <c r="D107" s="152"/>
      <c r="E107" s="154">
        <v>1361.0</v>
      </c>
      <c r="F107" s="152"/>
      <c r="G107" s="155"/>
      <c r="H107" s="153" t="s">
        <v>490</v>
      </c>
      <c r="I107" s="153" t="s">
        <v>434</v>
      </c>
      <c r="J107" s="156">
        <v>105.0</v>
      </c>
      <c r="K107" s="157" t="s">
        <v>491</v>
      </c>
      <c r="L107" s="158" t="s">
        <v>492</v>
      </c>
      <c r="M107" s="158"/>
      <c r="N107" s="158"/>
      <c r="O107" s="158"/>
      <c r="P107" s="158"/>
      <c r="Q107" s="158"/>
      <c r="R107" s="158"/>
      <c r="S107" s="158"/>
      <c r="T107" s="158"/>
    </row>
    <row r="108">
      <c r="A108" s="152"/>
      <c r="B108" s="153"/>
      <c r="C108" s="152"/>
      <c r="D108" s="152"/>
      <c r="E108" s="154">
        <v>1362.0</v>
      </c>
      <c r="F108" s="152"/>
      <c r="G108" s="155"/>
      <c r="H108" s="153" t="s">
        <v>493</v>
      </c>
      <c r="I108" s="153" t="s">
        <v>182</v>
      </c>
      <c r="J108" s="156">
        <v>106.0</v>
      </c>
      <c r="K108" s="157" t="s">
        <v>494</v>
      </c>
      <c r="L108" s="158" t="s">
        <v>495</v>
      </c>
      <c r="M108" s="158"/>
      <c r="N108" s="158"/>
      <c r="O108" s="158"/>
      <c r="P108" s="158"/>
      <c r="Q108" s="158"/>
      <c r="R108" s="158"/>
      <c r="S108" s="158"/>
      <c r="T108" s="158"/>
    </row>
    <row r="109">
      <c r="A109" s="152"/>
      <c r="B109" s="153"/>
      <c r="C109" s="152"/>
      <c r="D109" s="152"/>
      <c r="E109" s="154">
        <v>1363.0</v>
      </c>
      <c r="F109" s="152"/>
      <c r="G109" s="155"/>
      <c r="H109" s="153" t="s">
        <v>496</v>
      </c>
      <c r="I109" s="153" t="s">
        <v>182</v>
      </c>
      <c r="J109" s="156">
        <v>107.0</v>
      </c>
      <c r="K109" s="157" t="s">
        <v>497</v>
      </c>
      <c r="L109" s="158" t="s">
        <v>498</v>
      </c>
      <c r="M109" s="158"/>
      <c r="N109" s="158"/>
      <c r="O109" s="158"/>
      <c r="P109" s="158"/>
      <c r="Q109" s="158"/>
      <c r="R109" s="158"/>
      <c r="S109" s="158"/>
      <c r="T109" s="158"/>
    </row>
    <row r="110">
      <c r="A110" s="152"/>
      <c r="B110" s="153"/>
      <c r="C110" s="152"/>
      <c r="D110" s="152"/>
      <c r="E110" s="154">
        <v>1364.0</v>
      </c>
      <c r="F110" s="152"/>
      <c r="G110" s="155"/>
      <c r="H110" s="153" t="s">
        <v>499</v>
      </c>
      <c r="I110" s="153" t="s">
        <v>167</v>
      </c>
      <c r="J110" s="156">
        <v>108.0</v>
      </c>
      <c r="K110" s="157" t="s">
        <v>500</v>
      </c>
      <c r="L110" s="158" t="s">
        <v>501</v>
      </c>
      <c r="M110" s="158"/>
      <c r="N110" s="158"/>
      <c r="O110" s="158"/>
      <c r="P110" s="158"/>
      <c r="Q110" s="158"/>
      <c r="R110" s="158"/>
      <c r="S110" s="158"/>
      <c r="T110" s="158"/>
    </row>
    <row r="111">
      <c r="A111" s="152"/>
      <c r="B111" s="153"/>
      <c r="C111" s="152"/>
      <c r="D111" s="152"/>
      <c r="E111" s="154">
        <v>1365.0</v>
      </c>
      <c r="F111" s="152"/>
      <c r="G111" s="155"/>
      <c r="H111" s="153" t="s">
        <v>502</v>
      </c>
      <c r="I111" s="153" t="s">
        <v>246</v>
      </c>
      <c r="J111" s="156">
        <v>109.0</v>
      </c>
      <c r="K111" s="157" t="s">
        <v>503</v>
      </c>
      <c r="L111" s="158" t="s">
        <v>504</v>
      </c>
      <c r="M111" s="158"/>
      <c r="N111" s="158"/>
      <c r="O111" s="158"/>
      <c r="P111" s="158"/>
      <c r="Q111" s="158"/>
      <c r="R111" s="158"/>
      <c r="S111" s="158"/>
      <c r="T111" s="158"/>
    </row>
    <row r="112">
      <c r="A112" s="152"/>
      <c r="B112" s="153"/>
      <c r="C112" s="152"/>
      <c r="D112" s="152"/>
      <c r="E112" s="154">
        <v>1366.0</v>
      </c>
      <c r="F112" s="152"/>
      <c r="G112" s="155"/>
      <c r="H112" s="153" t="s">
        <v>505</v>
      </c>
      <c r="I112" s="153" t="s">
        <v>156</v>
      </c>
      <c r="J112" s="156">
        <v>110.0</v>
      </c>
      <c r="K112" s="157" t="s">
        <v>506</v>
      </c>
      <c r="L112" s="158" t="s">
        <v>507</v>
      </c>
      <c r="M112" s="158"/>
      <c r="N112" s="158"/>
      <c r="O112" s="158"/>
      <c r="P112" s="158"/>
      <c r="Q112" s="158"/>
      <c r="R112" s="158"/>
      <c r="S112" s="158"/>
      <c r="T112" s="158"/>
    </row>
    <row r="113">
      <c r="A113" s="152"/>
      <c r="B113" s="153"/>
      <c r="C113" s="152"/>
      <c r="D113" s="152"/>
      <c r="E113" s="154">
        <v>1411.0</v>
      </c>
      <c r="F113" s="152"/>
      <c r="G113" s="155"/>
      <c r="H113" s="153" t="s">
        <v>508</v>
      </c>
      <c r="I113" s="153" t="s">
        <v>509</v>
      </c>
      <c r="J113" s="156">
        <v>111.0</v>
      </c>
      <c r="K113" s="157" t="s">
        <v>510</v>
      </c>
      <c r="L113" s="158" t="s">
        <v>511</v>
      </c>
      <c r="M113" s="158"/>
      <c r="N113" s="158"/>
      <c r="O113" s="158"/>
      <c r="P113" s="158"/>
      <c r="Q113" s="158"/>
      <c r="R113" s="158"/>
      <c r="S113" s="158"/>
      <c r="T113" s="158"/>
    </row>
    <row r="114">
      <c r="A114" s="152"/>
      <c r="B114" s="153"/>
      <c r="C114" s="152"/>
      <c r="D114" s="152"/>
      <c r="E114" s="154">
        <v>1412.0</v>
      </c>
      <c r="F114" s="152"/>
      <c r="G114" s="155"/>
      <c r="H114" s="153" t="s">
        <v>512</v>
      </c>
      <c r="I114" s="153" t="s">
        <v>188</v>
      </c>
      <c r="J114" s="156">
        <v>112.0</v>
      </c>
      <c r="K114" s="157" t="s">
        <v>513</v>
      </c>
      <c r="L114" s="158" t="s">
        <v>514</v>
      </c>
      <c r="M114" s="158"/>
      <c r="N114" s="158"/>
      <c r="O114" s="158"/>
      <c r="P114" s="158"/>
      <c r="Q114" s="158"/>
      <c r="R114" s="158"/>
      <c r="S114" s="158"/>
      <c r="T114" s="158"/>
    </row>
    <row r="115">
      <c r="A115" s="152"/>
      <c r="B115" s="153"/>
      <c r="C115" s="152"/>
      <c r="D115" s="152"/>
      <c r="E115" s="154">
        <v>1413.0</v>
      </c>
      <c r="F115" s="152"/>
      <c r="G115" s="155"/>
      <c r="H115" s="153" t="s">
        <v>515</v>
      </c>
      <c r="I115" s="153" t="s">
        <v>230</v>
      </c>
      <c r="J115" s="156">
        <v>113.0</v>
      </c>
      <c r="K115" s="157" t="s">
        <v>516</v>
      </c>
      <c r="L115" s="158" t="s">
        <v>517</v>
      </c>
      <c r="M115" s="158"/>
      <c r="N115" s="158"/>
      <c r="O115" s="158"/>
      <c r="P115" s="158"/>
      <c r="Q115" s="158"/>
      <c r="R115" s="158"/>
      <c r="S115" s="158"/>
      <c r="T115" s="158"/>
    </row>
    <row r="116">
      <c r="A116" s="152"/>
      <c r="B116" s="153"/>
      <c r="C116" s="152"/>
      <c r="D116" s="152"/>
      <c r="E116" s="154">
        <v>1414.0</v>
      </c>
      <c r="F116" s="152"/>
      <c r="G116" s="155"/>
      <c r="H116" s="153" t="s">
        <v>518</v>
      </c>
      <c r="I116" s="153" t="s">
        <v>519</v>
      </c>
      <c r="J116" s="156">
        <v>114.0</v>
      </c>
      <c r="K116" s="157" t="s">
        <v>520</v>
      </c>
      <c r="L116" s="158" t="s">
        <v>521</v>
      </c>
      <c r="M116" s="158"/>
      <c r="N116" s="158"/>
      <c r="O116" s="158"/>
      <c r="P116" s="158"/>
      <c r="Q116" s="158"/>
      <c r="R116" s="158"/>
      <c r="S116" s="158"/>
      <c r="T116" s="158"/>
    </row>
    <row r="117">
      <c r="A117" s="152"/>
      <c r="B117" s="153"/>
      <c r="C117" s="152"/>
      <c r="D117" s="152"/>
      <c r="E117" s="154">
        <v>1415.0</v>
      </c>
      <c r="F117" s="152"/>
      <c r="G117" s="155"/>
      <c r="H117" s="153" t="s">
        <v>522</v>
      </c>
      <c r="I117" s="153" t="s">
        <v>188</v>
      </c>
      <c r="J117" s="156">
        <v>115.0</v>
      </c>
      <c r="K117" s="157" t="s">
        <v>412</v>
      </c>
      <c r="L117" s="158" t="s">
        <v>523</v>
      </c>
      <c r="M117" s="158"/>
      <c r="N117" s="158"/>
      <c r="O117" s="158"/>
      <c r="P117" s="158"/>
      <c r="Q117" s="158"/>
      <c r="R117" s="158"/>
      <c r="S117" s="158"/>
      <c r="T117" s="158"/>
    </row>
    <row r="118">
      <c r="A118" s="152"/>
      <c r="B118" s="153"/>
      <c r="C118" s="152"/>
      <c r="D118" s="152"/>
      <c r="E118" s="154">
        <v>1416.0</v>
      </c>
      <c r="F118" s="152"/>
      <c r="G118" s="155"/>
      <c r="H118" s="153" t="s">
        <v>524</v>
      </c>
      <c r="I118" s="153" t="s">
        <v>188</v>
      </c>
      <c r="J118" s="156">
        <v>116.0</v>
      </c>
      <c r="K118" s="157" t="s">
        <v>525</v>
      </c>
      <c r="L118" s="158" t="s">
        <v>526</v>
      </c>
      <c r="M118" s="158"/>
      <c r="N118" s="158"/>
      <c r="O118" s="158"/>
      <c r="P118" s="158"/>
      <c r="Q118" s="158"/>
      <c r="R118" s="158"/>
      <c r="S118" s="158"/>
      <c r="T118" s="158"/>
    </row>
    <row r="119">
      <c r="A119" s="152"/>
      <c r="B119" s="153"/>
      <c r="C119" s="152"/>
      <c r="D119" s="152"/>
      <c r="E119" s="154">
        <v>1421.0</v>
      </c>
      <c r="F119" s="152"/>
      <c r="G119" s="155"/>
      <c r="H119" s="153" t="s">
        <v>527</v>
      </c>
      <c r="I119" s="153" t="s">
        <v>246</v>
      </c>
      <c r="J119" s="156">
        <v>117.0</v>
      </c>
      <c r="K119" s="157" t="s">
        <v>528</v>
      </c>
      <c r="L119" s="158" t="s">
        <v>529</v>
      </c>
      <c r="M119" s="158"/>
      <c r="N119" s="158"/>
      <c r="O119" s="158"/>
      <c r="P119" s="158"/>
      <c r="Q119" s="158"/>
      <c r="R119" s="158"/>
      <c r="S119" s="158"/>
      <c r="T119" s="158"/>
    </row>
    <row r="120">
      <c r="A120" s="152"/>
      <c r="B120" s="153"/>
      <c r="C120" s="152"/>
      <c r="D120" s="152"/>
      <c r="E120" s="154">
        <v>1422.0</v>
      </c>
      <c r="F120" s="152"/>
      <c r="G120" s="155"/>
      <c r="H120" s="153" t="s">
        <v>530</v>
      </c>
      <c r="I120" s="153" t="s">
        <v>188</v>
      </c>
      <c r="J120" s="156">
        <v>118.0</v>
      </c>
      <c r="K120" s="157" t="s">
        <v>525</v>
      </c>
      <c r="L120" s="158" t="s">
        <v>531</v>
      </c>
      <c r="M120" s="158"/>
      <c r="N120" s="158"/>
      <c r="O120" s="158"/>
      <c r="P120" s="158"/>
      <c r="Q120" s="158"/>
      <c r="R120" s="158"/>
      <c r="S120" s="158"/>
      <c r="T120" s="158"/>
    </row>
    <row r="121">
      <c r="A121" s="152"/>
      <c r="B121" s="153"/>
      <c r="C121" s="152"/>
      <c r="D121" s="152"/>
      <c r="E121" s="154">
        <v>1423.0</v>
      </c>
      <c r="F121" s="152"/>
      <c r="G121" s="155"/>
      <c r="H121" s="153" t="s">
        <v>532</v>
      </c>
      <c r="I121" s="153" t="s">
        <v>167</v>
      </c>
      <c r="J121" s="156">
        <v>119.0</v>
      </c>
      <c r="K121" s="157" t="s">
        <v>533</v>
      </c>
      <c r="L121" s="158" t="s">
        <v>534</v>
      </c>
      <c r="M121" s="158"/>
      <c r="N121" s="158"/>
      <c r="O121" s="158"/>
      <c r="P121" s="158"/>
      <c r="Q121" s="158"/>
      <c r="R121" s="158"/>
      <c r="S121" s="158"/>
      <c r="T121" s="158"/>
    </row>
    <row r="122">
      <c r="A122" s="152"/>
      <c r="B122" s="153"/>
      <c r="C122" s="152"/>
      <c r="D122" s="152"/>
      <c r="E122" s="154">
        <v>1424.0</v>
      </c>
      <c r="F122" s="152"/>
      <c r="G122" s="155"/>
      <c r="H122" s="153" t="s">
        <v>535</v>
      </c>
      <c r="I122" s="153" t="s">
        <v>167</v>
      </c>
      <c r="J122" s="156">
        <v>120.0</v>
      </c>
      <c r="K122" s="157" t="s">
        <v>536</v>
      </c>
      <c r="L122" s="158" t="s">
        <v>537</v>
      </c>
      <c r="M122" s="158"/>
      <c r="N122" s="158"/>
      <c r="O122" s="158"/>
      <c r="P122" s="158"/>
      <c r="Q122" s="158"/>
      <c r="R122" s="158"/>
      <c r="S122" s="158"/>
      <c r="T122" s="158"/>
    </row>
    <row r="123">
      <c r="A123" s="152"/>
      <c r="B123" s="153"/>
      <c r="C123" s="152"/>
      <c r="D123" s="152"/>
      <c r="E123" s="154">
        <v>1425.0</v>
      </c>
      <c r="F123" s="152"/>
      <c r="G123" s="155"/>
      <c r="H123" s="153" t="s">
        <v>538</v>
      </c>
      <c r="I123" s="153" t="s">
        <v>188</v>
      </c>
      <c r="J123" s="156">
        <v>121.0</v>
      </c>
      <c r="K123" s="157" t="s">
        <v>539</v>
      </c>
      <c r="L123" s="158" t="s">
        <v>540</v>
      </c>
      <c r="M123" s="158"/>
      <c r="N123" s="158"/>
      <c r="O123" s="158"/>
      <c r="P123" s="158"/>
      <c r="Q123" s="158"/>
      <c r="R123" s="158"/>
      <c r="S123" s="158"/>
      <c r="T123" s="158"/>
    </row>
    <row r="124">
      <c r="A124" s="152"/>
      <c r="B124" s="153"/>
      <c r="C124" s="152"/>
      <c r="D124" s="152"/>
      <c r="E124" s="154">
        <v>1426.0</v>
      </c>
      <c r="F124" s="152"/>
      <c r="G124" s="155"/>
      <c r="H124" s="153" t="s">
        <v>541</v>
      </c>
      <c r="I124" s="153" t="s">
        <v>519</v>
      </c>
      <c r="J124" s="156">
        <v>122.0</v>
      </c>
      <c r="K124" s="157" t="s">
        <v>520</v>
      </c>
      <c r="L124" s="158" t="s">
        <v>542</v>
      </c>
      <c r="M124" s="158"/>
      <c r="N124" s="158"/>
      <c r="O124" s="158"/>
      <c r="P124" s="158"/>
      <c r="Q124" s="158"/>
      <c r="R124" s="158"/>
      <c r="S124" s="158"/>
      <c r="T124" s="158"/>
    </row>
    <row r="125">
      <c r="A125" s="152"/>
      <c r="B125" s="153"/>
      <c r="C125" s="152"/>
      <c r="D125" s="152"/>
      <c r="E125" s="154">
        <v>1431.0</v>
      </c>
      <c r="F125" s="152"/>
      <c r="G125" s="155"/>
      <c r="H125" s="153" t="s">
        <v>543</v>
      </c>
      <c r="I125" s="153" t="s">
        <v>230</v>
      </c>
      <c r="J125" s="156">
        <v>123.0</v>
      </c>
      <c r="K125" s="157" t="s">
        <v>544</v>
      </c>
      <c r="L125" s="158" t="s">
        <v>545</v>
      </c>
      <c r="M125" s="158"/>
      <c r="N125" s="158"/>
      <c r="O125" s="158"/>
      <c r="P125" s="158"/>
      <c r="Q125" s="158"/>
      <c r="R125" s="158"/>
      <c r="S125" s="158"/>
      <c r="T125" s="158"/>
    </row>
    <row r="126">
      <c r="A126" s="152"/>
      <c r="B126" s="153"/>
      <c r="C126" s="152"/>
      <c r="D126" s="152"/>
      <c r="E126" s="154">
        <v>1432.0</v>
      </c>
      <c r="F126" s="152"/>
      <c r="G126" s="155"/>
      <c r="H126" s="153" t="s">
        <v>546</v>
      </c>
      <c r="I126" s="153" t="s">
        <v>230</v>
      </c>
      <c r="J126" s="156">
        <v>124.0</v>
      </c>
      <c r="K126" s="157" t="s">
        <v>547</v>
      </c>
      <c r="L126" s="158" t="s">
        <v>548</v>
      </c>
      <c r="M126" s="158"/>
      <c r="N126" s="158"/>
      <c r="O126" s="158"/>
      <c r="P126" s="158"/>
      <c r="Q126" s="158"/>
      <c r="R126" s="158"/>
      <c r="S126" s="158"/>
      <c r="T126" s="158"/>
    </row>
    <row r="127">
      <c r="A127" s="152"/>
      <c r="B127" s="153"/>
      <c r="C127" s="152"/>
      <c r="D127" s="152"/>
      <c r="E127" s="154">
        <v>1433.0</v>
      </c>
      <c r="F127" s="152"/>
      <c r="G127" s="155"/>
      <c r="H127" s="153" t="s">
        <v>549</v>
      </c>
      <c r="I127" s="153" t="s">
        <v>434</v>
      </c>
      <c r="J127" s="156">
        <v>125.0</v>
      </c>
      <c r="K127" s="157" t="s">
        <v>550</v>
      </c>
      <c r="L127" s="158" t="s">
        <v>551</v>
      </c>
      <c r="M127" s="158"/>
      <c r="N127" s="158"/>
      <c r="O127" s="158"/>
      <c r="P127" s="158"/>
      <c r="Q127" s="158"/>
      <c r="R127" s="158"/>
      <c r="S127" s="158"/>
      <c r="T127" s="158"/>
    </row>
    <row r="128">
      <c r="A128" s="152"/>
      <c r="B128" s="153"/>
      <c r="C128" s="152"/>
      <c r="D128" s="152"/>
      <c r="E128" s="154">
        <v>1434.0</v>
      </c>
      <c r="F128" s="152"/>
      <c r="G128" s="155"/>
      <c r="H128" s="153" t="s">
        <v>552</v>
      </c>
      <c r="I128" s="153" t="s">
        <v>167</v>
      </c>
      <c r="J128" s="156">
        <v>126.0</v>
      </c>
      <c r="K128" s="157" t="s">
        <v>553</v>
      </c>
      <c r="L128" s="158" t="s">
        <v>554</v>
      </c>
      <c r="M128" s="158"/>
      <c r="N128" s="158"/>
      <c r="O128" s="158"/>
      <c r="P128" s="158"/>
      <c r="Q128" s="158"/>
      <c r="R128" s="158"/>
      <c r="S128" s="158"/>
      <c r="T128" s="158"/>
    </row>
    <row r="129">
      <c r="A129" s="152"/>
      <c r="B129" s="153"/>
      <c r="C129" s="152"/>
      <c r="D129" s="152"/>
      <c r="E129" s="154">
        <v>1435.0</v>
      </c>
      <c r="F129" s="152"/>
      <c r="G129" s="155"/>
      <c r="H129" s="153" t="s">
        <v>555</v>
      </c>
      <c r="I129" s="153" t="s">
        <v>167</v>
      </c>
      <c r="J129" s="156">
        <v>127.0</v>
      </c>
      <c r="K129" s="157" t="s">
        <v>556</v>
      </c>
      <c r="L129" s="158" t="s">
        <v>557</v>
      </c>
      <c r="M129" s="158"/>
      <c r="N129" s="158"/>
      <c r="O129" s="158"/>
      <c r="P129" s="158"/>
      <c r="Q129" s="158"/>
      <c r="R129" s="158"/>
      <c r="S129" s="158"/>
      <c r="T129" s="158"/>
    </row>
    <row r="130">
      <c r="A130" s="152"/>
      <c r="B130" s="153"/>
      <c r="C130" s="152"/>
      <c r="D130" s="152"/>
      <c r="E130" s="154">
        <v>1436.0</v>
      </c>
      <c r="F130" s="152"/>
      <c r="G130" s="155"/>
      <c r="H130" s="153" t="s">
        <v>558</v>
      </c>
      <c r="I130" s="153" t="s">
        <v>182</v>
      </c>
      <c r="J130" s="156">
        <v>128.0</v>
      </c>
      <c r="K130" s="157" t="s">
        <v>559</v>
      </c>
      <c r="L130" s="158" t="s">
        <v>560</v>
      </c>
      <c r="M130" s="158"/>
      <c r="N130" s="158"/>
      <c r="O130" s="158"/>
      <c r="P130" s="158"/>
      <c r="Q130" s="158"/>
      <c r="R130" s="158"/>
      <c r="S130" s="158"/>
      <c r="T130" s="158"/>
    </row>
    <row r="131">
      <c r="A131" s="152"/>
      <c r="B131" s="153"/>
      <c r="C131" s="152"/>
      <c r="D131" s="152"/>
      <c r="E131" s="154">
        <v>1441.0</v>
      </c>
      <c r="F131" s="152"/>
      <c r="G131" s="155"/>
      <c r="H131" s="153" t="s">
        <v>561</v>
      </c>
      <c r="I131" s="153" t="s">
        <v>167</v>
      </c>
      <c r="J131" s="156">
        <v>129.0</v>
      </c>
      <c r="K131" s="157" t="s">
        <v>562</v>
      </c>
      <c r="L131" s="158" t="s">
        <v>563</v>
      </c>
      <c r="M131" s="158"/>
      <c r="N131" s="158"/>
      <c r="O131" s="158"/>
      <c r="P131" s="158"/>
      <c r="Q131" s="158"/>
      <c r="R131" s="158"/>
      <c r="S131" s="158"/>
      <c r="T131" s="158"/>
    </row>
    <row r="132">
      <c r="A132" s="152"/>
      <c r="B132" s="153"/>
      <c r="C132" s="152"/>
      <c r="D132" s="152"/>
      <c r="E132" s="154">
        <v>1442.0</v>
      </c>
      <c r="F132" s="152"/>
      <c r="G132" s="155"/>
      <c r="H132" s="153" t="s">
        <v>564</v>
      </c>
      <c r="I132" s="153" t="s">
        <v>167</v>
      </c>
      <c r="J132" s="156">
        <v>130.0</v>
      </c>
      <c r="K132" s="157" t="s">
        <v>565</v>
      </c>
      <c r="L132" s="158" t="s">
        <v>566</v>
      </c>
      <c r="M132" s="158"/>
      <c r="N132" s="158"/>
      <c r="O132" s="158"/>
      <c r="P132" s="158"/>
      <c r="Q132" s="158"/>
      <c r="R132" s="158"/>
      <c r="S132" s="158"/>
      <c r="T132" s="158"/>
    </row>
    <row r="133">
      <c r="A133" s="152"/>
      <c r="B133" s="153"/>
      <c r="C133" s="152"/>
      <c r="D133" s="152"/>
      <c r="E133" s="154">
        <v>1443.0</v>
      </c>
      <c r="F133" s="152"/>
      <c r="G133" s="155"/>
      <c r="H133" s="153" t="s">
        <v>567</v>
      </c>
      <c r="I133" s="153" t="s">
        <v>230</v>
      </c>
      <c r="J133" s="156">
        <v>131.0</v>
      </c>
      <c r="K133" s="157" t="s">
        <v>568</v>
      </c>
      <c r="L133" s="158" t="s">
        <v>569</v>
      </c>
      <c r="M133" s="158"/>
      <c r="N133" s="158"/>
      <c r="O133" s="158"/>
      <c r="P133" s="158"/>
      <c r="Q133" s="158"/>
      <c r="R133" s="158"/>
      <c r="S133" s="158"/>
      <c r="T133" s="158"/>
    </row>
    <row r="134">
      <c r="A134" s="152"/>
      <c r="B134" s="153"/>
      <c r="C134" s="152"/>
      <c r="D134" s="152"/>
      <c r="E134" s="154">
        <v>1444.0</v>
      </c>
      <c r="F134" s="152"/>
      <c r="G134" s="155"/>
      <c r="H134" s="153" t="s">
        <v>570</v>
      </c>
      <c r="I134" s="153" t="s">
        <v>230</v>
      </c>
      <c r="J134" s="156">
        <v>132.0</v>
      </c>
      <c r="K134" s="157" t="s">
        <v>568</v>
      </c>
      <c r="L134" s="158" t="s">
        <v>571</v>
      </c>
      <c r="M134" s="158"/>
      <c r="N134" s="158"/>
      <c r="O134" s="158"/>
      <c r="P134" s="158"/>
      <c r="Q134" s="158"/>
      <c r="R134" s="158"/>
      <c r="S134" s="158"/>
      <c r="T134" s="158"/>
    </row>
    <row r="135">
      <c r="A135" s="152"/>
      <c r="B135" s="153"/>
      <c r="C135" s="152"/>
      <c r="D135" s="152"/>
      <c r="E135" s="154">
        <v>1445.0</v>
      </c>
      <c r="F135" s="152"/>
      <c r="G135" s="155"/>
      <c r="H135" s="153" t="s">
        <v>572</v>
      </c>
      <c r="I135" s="153" t="s">
        <v>167</v>
      </c>
      <c r="J135" s="156">
        <v>133.0</v>
      </c>
      <c r="K135" s="157" t="s">
        <v>573</v>
      </c>
      <c r="L135" s="158" t="s">
        <v>574</v>
      </c>
      <c r="M135" s="158"/>
      <c r="N135" s="158"/>
      <c r="O135" s="158"/>
      <c r="P135" s="158"/>
      <c r="Q135" s="158"/>
      <c r="R135" s="158"/>
      <c r="S135" s="158"/>
      <c r="T135" s="158"/>
    </row>
    <row r="136">
      <c r="A136" s="152"/>
      <c r="B136" s="153"/>
      <c r="C136" s="152"/>
      <c r="D136" s="152"/>
      <c r="E136" s="154">
        <v>1446.0</v>
      </c>
      <c r="F136" s="152"/>
      <c r="G136" s="155"/>
      <c r="H136" s="153" t="s">
        <v>575</v>
      </c>
      <c r="I136" s="153" t="s">
        <v>415</v>
      </c>
      <c r="J136" s="156">
        <v>134.0</v>
      </c>
      <c r="K136" s="157" t="s">
        <v>576</v>
      </c>
      <c r="L136" s="158" t="s">
        <v>577</v>
      </c>
      <c r="M136" s="158"/>
      <c r="N136" s="158"/>
      <c r="O136" s="158"/>
      <c r="P136" s="158"/>
      <c r="Q136" s="158"/>
      <c r="R136" s="158"/>
      <c r="S136" s="158"/>
      <c r="T136" s="158"/>
    </row>
    <row r="137">
      <c r="A137" s="152"/>
      <c r="B137" s="153"/>
      <c r="C137" s="152"/>
      <c r="D137" s="152"/>
      <c r="E137" s="154">
        <v>1451.0</v>
      </c>
      <c r="F137" s="152"/>
      <c r="G137" s="155"/>
      <c r="H137" s="153" t="s">
        <v>578</v>
      </c>
      <c r="I137" s="153" t="s">
        <v>415</v>
      </c>
      <c r="J137" s="156">
        <v>135.0</v>
      </c>
      <c r="K137" s="157" t="s">
        <v>576</v>
      </c>
      <c r="L137" s="158" t="s">
        <v>579</v>
      </c>
      <c r="M137" s="158"/>
      <c r="N137" s="158"/>
      <c r="O137" s="158"/>
      <c r="P137" s="158"/>
      <c r="Q137" s="158"/>
      <c r="R137" s="158"/>
      <c r="S137" s="158"/>
      <c r="T137" s="158"/>
    </row>
    <row r="138">
      <c r="A138" s="152"/>
      <c r="B138" s="153"/>
      <c r="C138" s="152"/>
      <c r="D138" s="152"/>
      <c r="E138" s="154">
        <v>1452.0</v>
      </c>
      <c r="F138" s="152"/>
      <c r="G138" s="155"/>
      <c r="H138" s="153" t="s">
        <v>580</v>
      </c>
      <c r="I138" s="153" t="s">
        <v>415</v>
      </c>
      <c r="J138" s="156">
        <v>136.0</v>
      </c>
      <c r="K138" s="157" t="s">
        <v>581</v>
      </c>
      <c r="L138" s="158" t="s">
        <v>582</v>
      </c>
      <c r="M138" s="158"/>
      <c r="N138" s="158"/>
      <c r="O138" s="158"/>
      <c r="P138" s="158"/>
      <c r="Q138" s="158"/>
      <c r="R138" s="158"/>
      <c r="S138" s="158"/>
      <c r="T138" s="158"/>
    </row>
    <row r="139">
      <c r="A139" s="152"/>
      <c r="B139" s="153"/>
      <c r="C139" s="152"/>
      <c r="D139" s="152"/>
      <c r="E139" s="154">
        <v>1453.0</v>
      </c>
      <c r="F139" s="152"/>
      <c r="G139" s="155"/>
      <c r="H139" s="153" t="s">
        <v>583</v>
      </c>
      <c r="I139" s="153" t="s">
        <v>246</v>
      </c>
      <c r="J139" s="156">
        <v>137.0</v>
      </c>
      <c r="K139" s="157" t="s">
        <v>584</v>
      </c>
      <c r="L139" s="158" t="s">
        <v>585</v>
      </c>
      <c r="M139" s="158"/>
      <c r="N139" s="158"/>
      <c r="O139" s="158"/>
      <c r="P139" s="158"/>
      <c r="Q139" s="158"/>
      <c r="R139" s="158"/>
      <c r="S139" s="158"/>
      <c r="T139" s="158"/>
    </row>
    <row r="140">
      <c r="A140" s="152"/>
      <c r="B140" s="153"/>
      <c r="C140" s="152"/>
      <c r="D140" s="152"/>
      <c r="E140" s="154">
        <v>1454.0</v>
      </c>
      <c r="F140" s="152"/>
      <c r="G140" s="155"/>
      <c r="H140" s="153" t="s">
        <v>586</v>
      </c>
      <c r="I140" s="153" t="s">
        <v>182</v>
      </c>
      <c r="J140" s="156">
        <v>138.0</v>
      </c>
      <c r="K140" s="157" t="s">
        <v>587</v>
      </c>
      <c r="L140" s="158" t="s">
        <v>588</v>
      </c>
      <c r="M140" s="158"/>
      <c r="N140" s="158"/>
      <c r="O140" s="158"/>
      <c r="P140" s="158"/>
      <c r="Q140" s="158"/>
      <c r="R140" s="158"/>
      <c r="S140" s="158"/>
      <c r="T140" s="158"/>
    </row>
    <row r="141">
      <c r="A141" s="152"/>
      <c r="B141" s="153"/>
      <c r="C141" s="152"/>
      <c r="D141" s="152"/>
      <c r="E141" s="154">
        <v>1455.0</v>
      </c>
      <c r="F141" s="152"/>
      <c r="G141" s="155"/>
      <c r="H141" s="153" t="s">
        <v>589</v>
      </c>
      <c r="I141" s="153" t="s">
        <v>182</v>
      </c>
      <c r="J141" s="156">
        <v>139.0</v>
      </c>
      <c r="K141" s="157" t="s">
        <v>590</v>
      </c>
      <c r="L141" s="158" t="s">
        <v>591</v>
      </c>
      <c r="M141" s="158"/>
      <c r="N141" s="158"/>
      <c r="O141" s="158"/>
      <c r="P141" s="158"/>
      <c r="Q141" s="158"/>
      <c r="R141" s="158"/>
      <c r="S141" s="158"/>
      <c r="T141" s="158"/>
    </row>
    <row r="142">
      <c r="A142" s="152"/>
      <c r="B142" s="153"/>
      <c r="C142" s="152"/>
      <c r="D142" s="152"/>
      <c r="E142" s="154">
        <v>1456.0</v>
      </c>
      <c r="F142" s="152"/>
      <c r="G142" s="155"/>
      <c r="H142" s="153" t="s">
        <v>592</v>
      </c>
      <c r="I142" s="153" t="s">
        <v>230</v>
      </c>
      <c r="J142" s="156">
        <v>140.0</v>
      </c>
      <c r="K142" s="157" t="s">
        <v>593</v>
      </c>
      <c r="L142" s="158" t="s">
        <v>594</v>
      </c>
      <c r="M142" s="158"/>
      <c r="N142" s="158"/>
      <c r="O142" s="158"/>
      <c r="P142" s="158"/>
      <c r="Q142" s="158"/>
      <c r="R142" s="158"/>
      <c r="S142" s="158"/>
      <c r="T142" s="158"/>
    </row>
    <row r="143">
      <c r="A143" s="152"/>
      <c r="B143" s="153"/>
      <c r="C143" s="152"/>
      <c r="D143" s="152"/>
      <c r="E143" s="154">
        <v>1461.0</v>
      </c>
      <c r="F143" s="152"/>
      <c r="G143" s="155"/>
      <c r="H143" s="153" t="s">
        <v>595</v>
      </c>
      <c r="I143" s="153" t="s">
        <v>230</v>
      </c>
      <c r="J143" s="156">
        <v>141.0</v>
      </c>
      <c r="K143" s="157" t="s">
        <v>596</v>
      </c>
      <c r="L143" s="158" t="s">
        <v>597</v>
      </c>
      <c r="M143" s="158"/>
      <c r="N143" s="158"/>
      <c r="O143" s="158"/>
      <c r="P143" s="158"/>
      <c r="Q143" s="158"/>
      <c r="R143" s="158"/>
      <c r="S143" s="158"/>
      <c r="T143" s="158"/>
    </row>
    <row r="144">
      <c r="A144" s="152"/>
      <c r="B144" s="153"/>
      <c r="C144" s="152"/>
      <c r="D144" s="152"/>
      <c r="E144" s="154">
        <v>1462.0</v>
      </c>
      <c r="F144" s="152"/>
      <c r="G144" s="155"/>
      <c r="H144" s="153" t="s">
        <v>598</v>
      </c>
      <c r="I144" s="153" t="s">
        <v>167</v>
      </c>
      <c r="J144" s="156">
        <v>142.0</v>
      </c>
      <c r="K144" s="157" t="s">
        <v>599</v>
      </c>
      <c r="L144" s="158" t="s">
        <v>600</v>
      </c>
      <c r="M144" s="158"/>
      <c r="N144" s="158"/>
      <c r="O144" s="158"/>
      <c r="P144" s="158"/>
      <c r="Q144" s="158"/>
      <c r="R144" s="158"/>
      <c r="S144" s="158"/>
      <c r="T144" s="158"/>
    </row>
    <row r="145">
      <c r="A145" s="152"/>
      <c r="B145" s="153"/>
      <c r="C145" s="152"/>
      <c r="D145" s="152"/>
      <c r="E145" s="154">
        <v>1463.0</v>
      </c>
      <c r="F145" s="152"/>
      <c r="G145" s="155"/>
      <c r="H145" s="153" t="s">
        <v>601</v>
      </c>
      <c r="I145" s="153" t="s">
        <v>188</v>
      </c>
      <c r="J145" s="156">
        <v>143.0</v>
      </c>
      <c r="K145" s="157" t="s">
        <v>602</v>
      </c>
      <c r="L145" s="158" t="s">
        <v>603</v>
      </c>
      <c r="M145" s="158"/>
      <c r="N145" s="158"/>
      <c r="O145" s="158"/>
      <c r="P145" s="158"/>
      <c r="Q145" s="158"/>
      <c r="R145" s="158"/>
      <c r="S145" s="158"/>
      <c r="T145" s="158"/>
    </row>
    <row r="146">
      <c r="A146" s="152"/>
      <c r="B146" s="153"/>
      <c r="C146" s="152"/>
      <c r="D146" s="152"/>
      <c r="E146" s="154">
        <v>1464.0</v>
      </c>
      <c r="F146" s="152"/>
      <c r="G146" s="155"/>
      <c r="H146" s="153" t="s">
        <v>604</v>
      </c>
      <c r="I146" s="153" t="s">
        <v>230</v>
      </c>
      <c r="J146" s="156">
        <v>144.0</v>
      </c>
      <c r="K146" s="157" t="s">
        <v>605</v>
      </c>
      <c r="L146" s="158" t="s">
        <v>606</v>
      </c>
      <c r="M146" s="158"/>
      <c r="N146" s="158"/>
      <c r="O146" s="158"/>
      <c r="P146" s="158"/>
      <c r="Q146" s="158"/>
      <c r="R146" s="158"/>
      <c r="S146" s="158"/>
      <c r="T146" s="158"/>
    </row>
    <row r="147">
      <c r="A147" s="152"/>
      <c r="B147" s="153"/>
      <c r="C147" s="152"/>
      <c r="D147" s="152"/>
      <c r="E147" s="154">
        <v>1465.0</v>
      </c>
      <c r="F147" s="152"/>
      <c r="G147" s="155"/>
      <c r="H147" s="153" t="s">
        <v>607</v>
      </c>
      <c r="I147" s="153" t="s">
        <v>608</v>
      </c>
      <c r="J147" s="156">
        <v>145.0</v>
      </c>
      <c r="K147" s="157" t="s">
        <v>609</v>
      </c>
      <c r="L147" s="158" t="s">
        <v>610</v>
      </c>
      <c r="M147" s="158"/>
      <c r="N147" s="158"/>
      <c r="O147" s="158"/>
      <c r="P147" s="158"/>
      <c r="Q147" s="158"/>
      <c r="R147" s="158"/>
      <c r="S147" s="158"/>
      <c r="T147" s="158"/>
    </row>
    <row r="148">
      <c r="A148" s="152"/>
      <c r="B148" s="153"/>
      <c r="C148" s="152"/>
      <c r="D148" s="152"/>
      <c r="E148" s="154">
        <v>1466.0</v>
      </c>
      <c r="F148" s="152"/>
      <c r="G148" s="155"/>
      <c r="H148" s="153" t="s">
        <v>611</v>
      </c>
      <c r="I148" s="153" t="s">
        <v>608</v>
      </c>
      <c r="J148" s="156">
        <v>146.0</v>
      </c>
      <c r="K148" s="157" t="s">
        <v>612</v>
      </c>
      <c r="L148" s="158" t="s">
        <v>613</v>
      </c>
      <c r="M148" s="158"/>
      <c r="N148" s="158"/>
      <c r="O148" s="158"/>
      <c r="P148" s="158"/>
      <c r="Q148" s="158"/>
      <c r="R148" s="158"/>
      <c r="S148" s="158"/>
      <c r="T148" s="158"/>
    </row>
    <row r="149">
      <c r="A149" s="152"/>
      <c r="B149" s="153"/>
      <c r="C149" s="152"/>
      <c r="D149" s="152"/>
      <c r="E149" s="154">
        <v>1511.0</v>
      </c>
      <c r="F149" s="152"/>
      <c r="G149" s="155"/>
      <c r="H149" s="153" t="s">
        <v>614</v>
      </c>
      <c r="I149" s="153" t="s">
        <v>156</v>
      </c>
      <c r="J149" s="156">
        <v>147.0</v>
      </c>
      <c r="K149" s="157" t="s">
        <v>615</v>
      </c>
      <c r="L149" s="158" t="s">
        <v>616</v>
      </c>
      <c r="M149" s="158"/>
      <c r="N149" s="158"/>
      <c r="O149" s="158"/>
      <c r="P149" s="158"/>
      <c r="Q149" s="158"/>
      <c r="R149" s="158"/>
      <c r="S149" s="158"/>
      <c r="T149" s="158"/>
    </row>
    <row r="150">
      <c r="A150" s="152"/>
      <c r="B150" s="153"/>
      <c r="C150" s="152"/>
      <c r="D150" s="152"/>
      <c r="E150" s="154">
        <v>1512.0</v>
      </c>
      <c r="F150" s="152"/>
      <c r="G150" s="155"/>
      <c r="H150" s="153" t="s">
        <v>617</v>
      </c>
      <c r="I150" s="153" t="s">
        <v>156</v>
      </c>
      <c r="J150" s="156">
        <v>148.0</v>
      </c>
      <c r="K150" s="157" t="s">
        <v>618</v>
      </c>
      <c r="L150" s="158" t="s">
        <v>619</v>
      </c>
      <c r="M150" s="158"/>
      <c r="N150" s="158"/>
      <c r="O150" s="158"/>
      <c r="P150" s="158"/>
      <c r="Q150" s="158"/>
      <c r="R150" s="158"/>
      <c r="S150" s="158"/>
      <c r="T150" s="158"/>
    </row>
    <row r="151">
      <c r="A151" s="152"/>
      <c r="B151" s="153"/>
      <c r="C151" s="152"/>
      <c r="D151" s="152"/>
      <c r="E151" s="154">
        <v>1513.0</v>
      </c>
      <c r="F151" s="152"/>
      <c r="G151" s="155"/>
      <c r="H151" s="153" t="s">
        <v>620</v>
      </c>
      <c r="I151" s="153" t="s">
        <v>621</v>
      </c>
      <c r="J151" s="156">
        <v>149.0</v>
      </c>
      <c r="K151" s="157" t="s">
        <v>622</v>
      </c>
      <c r="L151" s="158" t="s">
        <v>623</v>
      </c>
      <c r="M151" s="158"/>
      <c r="N151" s="158"/>
      <c r="O151" s="158"/>
      <c r="P151" s="158"/>
      <c r="Q151" s="158"/>
      <c r="R151" s="158"/>
      <c r="S151" s="158"/>
      <c r="T151" s="158"/>
    </row>
    <row r="152">
      <c r="A152" s="152"/>
      <c r="B152" s="153"/>
      <c r="C152" s="152"/>
      <c r="D152" s="152"/>
      <c r="E152" s="154">
        <v>1514.0</v>
      </c>
      <c r="F152" s="152"/>
      <c r="G152" s="155"/>
      <c r="H152" s="153" t="s">
        <v>624</v>
      </c>
      <c r="I152" s="153" t="s">
        <v>167</v>
      </c>
      <c r="J152" s="156">
        <v>150.0</v>
      </c>
      <c r="K152" s="157" t="s">
        <v>625</v>
      </c>
      <c r="L152" s="158" t="s">
        <v>626</v>
      </c>
      <c r="M152" s="158"/>
      <c r="N152" s="158"/>
      <c r="O152" s="158"/>
      <c r="P152" s="158"/>
      <c r="Q152" s="158"/>
      <c r="R152" s="158"/>
      <c r="S152" s="158"/>
      <c r="T152" s="158"/>
    </row>
    <row r="153">
      <c r="A153" s="152"/>
      <c r="B153" s="153"/>
      <c r="C153" s="152"/>
      <c r="D153" s="152"/>
      <c r="E153" s="154">
        <v>1515.0</v>
      </c>
      <c r="F153" s="152"/>
      <c r="G153" s="155"/>
      <c r="H153" s="153" t="s">
        <v>627</v>
      </c>
      <c r="I153" s="153" t="s">
        <v>167</v>
      </c>
      <c r="J153" s="156">
        <v>151.0</v>
      </c>
      <c r="K153" s="157" t="s">
        <v>628</v>
      </c>
      <c r="L153" s="158" t="s">
        <v>629</v>
      </c>
      <c r="M153" s="158"/>
      <c r="N153" s="158"/>
      <c r="O153" s="158"/>
      <c r="P153" s="158"/>
      <c r="Q153" s="158"/>
      <c r="R153" s="158"/>
      <c r="S153" s="158"/>
      <c r="T153" s="158"/>
    </row>
    <row r="154">
      <c r="A154" s="152"/>
      <c r="B154" s="153"/>
      <c r="C154" s="152"/>
      <c r="D154" s="152"/>
      <c r="E154" s="154">
        <v>1516.0</v>
      </c>
      <c r="F154" s="152"/>
      <c r="G154" s="155"/>
      <c r="H154" s="153" t="s">
        <v>630</v>
      </c>
      <c r="I154" s="153" t="s">
        <v>631</v>
      </c>
      <c r="J154" s="156">
        <v>152.0</v>
      </c>
      <c r="K154" s="157" t="s">
        <v>632</v>
      </c>
      <c r="L154" s="158" t="s">
        <v>633</v>
      </c>
      <c r="M154" s="158"/>
      <c r="N154" s="158"/>
      <c r="O154" s="158"/>
      <c r="P154" s="158"/>
      <c r="Q154" s="158"/>
      <c r="R154" s="158"/>
      <c r="S154" s="158"/>
      <c r="T154" s="158"/>
    </row>
    <row r="155">
      <c r="A155" s="152"/>
      <c r="B155" s="153"/>
      <c r="C155" s="152"/>
      <c r="D155" s="152"/>
      <c r="E155" s="154">
        <v>1521.0</v>
      </c>
      <c r="F155" s="152"/>
      <c r="G155" s="155"/>
      <c r="H155" s="153" t="s">
        <v>634</v>
      </c>
      <c r="I155" s="153" t="s">
        <v>463</v>
      </c>
      <c r="J155" s="156">
        <v>153.0</v>
      </c>
      <c r="K155" s="157" t="s">
        <v>635</v>
      </c>
      <c r="L155" s="158" t="s">
        <v>636</v>
      </c>
      <c r="M155" s="158"/>
      <c r="N155" s="158"/>
      <c r="O155" s="158"/>
      <c r="P155" s="158"/>
      <c r="Q155" s="158"/>
      <c r="R155" s="158"/>
      <c r="S155" s="158"/>
      <c r="T155" s="158"/>
    </row>
    <row r="156">
      <c r="A156" s="152"/>
      <c r="B156" s="153"/>
      <c r="C156" s="152"/>
      <c r="D156" s="152"/>
      <c r="E156" s="154">
        <v>1522.0</v>
      </c>
      <c r="F156" s="152"/>
      <c r="G156" s="155"/>
      <c r="H156" s="153" t="s">
        <v>637</v>
      </c>
      <c r="I156" s="153" t="s">
        <v>631</v>
      </c>
      <c r="J156" s="156">
        <v>154.0</v>
      </c>
      <c r="K156" s="157" t="s">
        <v>638</v>
      </c>
      <c r="L156" s="158" t="s">
        <v>639</v>
      </c>
      <c r="M156" s="158"/>
      <c r="N156" s="158"/>
      <c r="O156" s="158"/>
      <c r="P156" s="158"/>
      <c r="Q156" s="158"/>
      <c r="R156" s="158"/>
      <c r="S156" s="158"/>
      <c r="T156" s="158"/>
    </row>
    <row r="157">
      <c r="A157" s="152"/>
      <c r="B157" s="153"/>
      <c r="C157" s="152"/>
      <c r="D157" s="152"/>
      <c r="E157" s="154">
        <v>1523.0</v>
      </c>
      <c r="F157" s="152"/>
      <c r="G157" s="155"/>
      <c r="H157" s="153" t="s">
        <v>640</v>
      </c>
      <c r="I157" s="153" t="s">
        <v>156</v>
      </c>
      <c r="J157" s="156">
        <v>155.0</v>
      </c>
      <c r="K157" s="157" t="s">
        <v>641</v>
      </c>
      <c r="L157" s="158" t="s">
        <v>642</v>
      </c>
      <c r="M157" s="158"/>
      <c r="N157" s="158"/>
      <c r="O157" s="158"/>
      <c r="P157" s="158"/>
      <c r="Q157" s="158"/>
      <c r="R157" s="158"/>
      <c r="S157" s="158"/>
      <c r="T157" s="158"/>
    </row>
    <row r="158">
      <c r="A158" s="152"/>
      <c r="B158" s="153"/>
      <c r="C158" s="152"/>
      <c r="D158" s="152"/>
      <c r="E158" s="154">
        <v>1524.0</v>
      </c>
      <c r="F158" s="152"/>
      <c r="G158" s="155"/>
      <c r="H158" s="153" t="s">
        <v>643</v>
      </c>
      <c r="I158" s="153" t="s">
        <v>156</v>
      </c>
      <c r="J158" s="156">
        <v>156.0</v>
      </c>
      <c r="K158" s="157" t="s">
        <v>644</v>
      </c>
      <c r="L158" s="158" t="s">
        <v>645</v>
      </c>
      <c r="M158" s="158"/>
      <c r="N158" s="158"/>
      <c r="O158" s="158"/>
      <c r="P158" s="158"/>
      <c r="Q158" s="158"/>
      <c r="R158" s="158"/>
      <c r="S158" s="158"/>
      <c r="T158" s="158"/>
    </row>
    <row r="159">
      <c r="A159" s="152"/>
      <c r="B159" s="153"/>
      <c r="C159" s="152"/>
      <c r="D159" s="152"/>
      <c r="E159" s="154">
        <v>1525.0</v>
      </c>
      <c r="F159" s="152"/>
      <c r="G159" s="155"/>
      <c r="H159" s="153" t="s">
        <v>646</v>
      </c>
      <c r="I159" s="153" t="s">
        <v>156</v>
      </c>
      <c r="J159" s="156">
        <v>157.0</v>
      </c>
      <c r="K159" s="157" t="s">
        <v>647</v>
      </c>
      <c r="L159" s="158" t="s">
        <v>648</v>
      </c>
      <c r="M159" s="158"/>
      <c r="N159" s="158"/>
      <c r="O159" s="158"/>
      <c r="P159" s="158"/>
      <c r="Q159" s="158"/>
      <c r="R159" s="158"/>
      <c r="S159" s="158"/>
      <c r="T159" s="158"/>
    </row>
    <row r="160">
      <c r="A160" s="152"/>
      <c r="B160" s="153"/>
      <c r="C160" s="152"/>
      <c r="D160" s="152"/>
      <c r="E160" s="154">
        <v>1526.0</v>
      </c>
      <c r="F160" s="152"/>
      <c r="G160" s="155"/>
      <c r="H160" s="153" t="s">
        <v>649</v>
      </c>
      <c r="I160" s="153" t="s">
        <v>156</v>
      </c>
      <c r="J160" s="156">
        <v>158.0</v>
      </c>
      <c r="K160" s="157" t="s">
        <v>650</v>
      </c>
      <c r="L160" s="158" t="s">
        <v>651</v>
      </c>
      <c r="M160" s="158"/>
      <c r="N160" s="158"/>
      <c r="O160" s="158"/>
      <c r="P160" s="158"/>
      <c r="Q160" s="158"/>
      <c r="R160" s="158"/>
      <c r="S160" s="158"/>
      <c r="T160" s="158"/>
    </row>
    <row r="161">
      <c r="A161" s="152"/>
      <c r="B161" s="153"/>
      <c r="C161" s="152"/>
      <c r="D161" s="152"/>
      <c r="E161" s="154">
        <v>1531.0</v>
      </c>
      <c r="F161" s="152"/>
      <c r="G161" s="155"/>
      <c r="H161" s="153" t="s">
        <v>652</v>
      </c>
      <c r="I161" s="153" t="s">
        <v>156</v>
      </c>
      <c r="J161" s="156">
        <v>159.0</v>
      </c>
      <c r="K161" s="157" t="s">
        <v>653</v>
      </c>
      <c r="L161" s="158" t="s">
        <v>654</v>
      </c>
      <c r="M161" s="158"/>
      <c r="N161" s="158"/>
      <c r="O161" s="158"/>
      <c r="P161" s="158"/>
      <c r="Q161" s="158"/>
      <c r="R161" s="158"/>
      <c r="S161" s="158"/>
      <c r="T161" s="158"/>
    </row>
    <row r="162">
      <c r="A162" s="152"/>
      <c r="B162" s="153"/>
      <c r="C162" s="152"/>
      <c r="D162" s="152"/>
      <c r="E162" s="154">
        <v>1532.0</v>
      </c>
      <c r="F162" s="152"/>
      <c r="G162" s="155"/>
      <c r="H162" s="153" t="s">
        <v>655</v>
      </c>
      <c r="I162" s="153" t="s">
        <v>246</v>
      </c>
      <c r="J162" s="156">
        <v>160.0</v>
      </c>
      <c r="K162" s="157" t="s">
        <v>656</v>
      </c>
      <c r="L162" s="153" t="s">
        <v>657</v>
      </c>
      <c r="M162" s="153"/>
      <c r="N162" s="153"/>
      <c r="O162" s="153"/>
      <c r="P162" s="153"/>
      <c r="Q162" s="153"/>
      <c r="R162" s="153"/>
      <c r="S162" s="153"/>
      <c r="T162" s="153"/>
    </row>
    <row r="163">
      <c r="A163" s="152"/>
      <c r="B163" s="153"/>
      <c r="C163" s="152"/>
      <c r="D163" s="152"/>
      <c r="E163" s="154">
        <v>1533.0</v>
      </c>
      <c r="F163" s="152"/>
      <c r="G163" s="155"/>
      <c r="H163" s="153" t="s">
        <v>658</v>
      </c>
      <c r="I163" s="153" t="s">
        <v>246</v>
      </c>
      <c r="J163" s="156">
        <v>161.0</v>
      </c>
      <c r="K163" s="157" t="s">
        <v>387</v>
      </c>
      <c r="L163" s="158" t="s">
        <v>659</v>
      </c>
      <c r="M163" s="158"/>
      <c r="N163" s="158"/>
      <c r="O163" s="158"/>
      <c r="P163" s="158"/>
      <c r="Q163" s="158"/>
      <c r="R163" s="158"/>
      <c r="S163" s="158"/>
      <c r="T163" s="158"/>
    </row>
    <row r="164">
      <c r="A164" s="152"/>
      <c r="B164" s="153"/>
      <c r="C164" s="152"/>
      <c r="D164" s="152"/>
      <c r="E164" s="154">
        <v>1534.0</v>
      </c>
      <c r="F164" s="152"/>
      <c r="G164" s="155"/>
      <c r="H164" s="153" t="s">
        <v>660</v>
      </c>
      <c r="I164" s="153" t="s">
        <v>661</v>
      </c>
      <c r="J164" s="156">
        <v>162.0</v>
      </c>
      <c r="K164" s="157" t="s">
        <v>662</v>
      </c>
      <c r="L164" s="158" t="s">
        <v>663</v>
      </c>
      <c r="M164" s="158"/>
      <c r="N164" s="158"/>
      <c r="O164" s="158"/>
      <c r="P164" s="158"/>
      <c r="Q164" s="158"/>
      <c r="R164" s="158"/>
      <c r="S164" s="158"/>
      <c r="T164" s="158"/>
    </row>
    <row r="165">
      <c r="A165" s="152"/>
      <c r="B165" s="153"/>
      <c r="C165" s="152"/>
      <c r="D165" s="152"/>
      <c r="E165" s="154">
        <v>1535.0</v>
      </c>
      <c r="F165" s="152"/>
      <c r="G165" s="155"/>
      <c r="H165" s="153" t="s">
        <v>664</v>
      </c>
      <c r="I165" s="153" t="s">
        <v>246</v>
      </c>
      <c r="J165" s="156">
        <v>163.0</v>
      </c>
      <c r="K165" s="157" t="s">
        <v>665</v>
      </c>
      <c r="L165" s="158" t="s">
        <v>666</v>
      </c>
      <c r="M165" s="158"/>
      <c r="N165" s="158"/>
      <c r="O165" s="158"/>
      <c r="P165" s="158"/>
      <c r="Q165" s="158"/>
      <c r="R165" s="158"/>
      <c r="S165" s="158"/>
      <c r="T165" s="158"/>
    </row>
    <row r="166">
      <c r="A166" s="152"/>
      <c r="B166" s="153"/>
      <c r="C166" s="152"/>
      <c r="D166" s="152"/>
      <c r="E166" s="154">
        <v>1536.0</v>
      </c>
      <c r="F166" s="152"/>
      <c r="G166" s="155"/>
      <c r="H166" s="153" t="s">
        <v>667</v>
      </c>
      <c r="I166" s="153" t="s">
        <v>246</v>
      </c>
      <c r="J166" s="156">
        <v>164.0</v>
      </c>
      <c r="K166" s="157" t="s">
        <v>668</v>
      </c>
      <c r="L166" s="158" t="s">
        <v>669</v>
      </c>
      <c r="M166" s="158"/>
      <c r="N166" s="158"/>
      <c r="O166" s="158"/>
      <c r="P166" s="158"/>
      <c r="Q166" s="158"/>
      <c r="R166" s="158"/>
      <c r="S166" s="158"/>
      <c r="T166" s="158"/>
    </row>
    <row r="167">
      <c r="A167" s="152"/>
      <c r="B167" s="153"/>
      <c r="C167" s="152"/>
      <c r="D167" s="152"/>
      <c r="E167" s="154">
        <v>1541.0</v>
      </c>
      <c r="F167" s="152"/>
      <c r="G167" s="155"/>
      <c r="H167" s="153" t="s">
        <v>670</v>
      </c>
      <c r="I167" s="153" t="s">
        <v>509</v>
      </c>
      <c r="J167" s="156">
        <v>165.0</v>
      </c>
      <c r="K167" s="157" t="s">
        <v>671</v>
      </c>
      <c r="L167" s="158" t="s">
        <v>672</v>
      </c>
      <c r="M167" s="158"/>
      <c r="N167" s="158"/>
      <c r="O167" s="158"/>
      <c r="P167" s="158"/>
      <c r="Q167" s="158"/>
      <c r="R167" s="158"/>
      <c r="S167" s="158"/>
      <c r="T167" s="158"/>
    </row>
    <row r="168">
      <c r="A168" s="152"/>
      <c r="B168" s="153"/>
      <c r="C168" s="152"/>
      <c r="D168" s="152"/>
      <c r="E168" s="154">
        <v>1542.0</v>
      </c>
      <c r="F168" s="152"/>
      <c r="G168" s="155"/>
      <c r="H168" s="153" t="s">
        <v>673</v>
      </c>
      <c r="I168" s="153" t="s">
        <v>509</v>
      </c>
      <c r="J168" s="156">
        <v>166.0</v>
      </c>
      <c r="K168" s="157" t="s">
        <v>674</v>
      </c>
      <c r="L168" s="158" t="s">
        <v>675</v>
      </c>
      <c r="M168" s="158"/>
      <c r="N168" s="158"/>
      <c r="O168" s="158"/>
      <c r="P168" s="158"/>
      <c r="Q168" s="158"/>
      <c r="R168" s="158"/>
      <c r="S168" s="158"/>
      <c r="T168" s="158"/>
    </row>
    <row r="169">
      <c r="A169" s="152"/>
      <c r="B169" s="153"/>
      <c r="C169" s="152"/>
      <c r="D169" s="152"/>
      <c r="E169" s="154">
        <v>1543.0</v>
      </c>
      <c r="F169" s="152"/>
      <c r="G169" s="155"/>
      <c r="H169" s="153" t="s">
        <v>80</v>
      </c>
      <c r="I169" s="153" t="s">
        <v>509</v>
      </c>
      <c r="J169" s="156">
        <v>167.0</v>
      </c>
      <c r="K169" s="157" t="s">
        <v>674</v>
      </c>
      <c r="L169" s="158" t="s">
        <v>676</v>
      </c>
      <c r="M169" s="158"/>
      <c r="N169" s="158"/>
      <c r="O169" s="158"/>
      <c r="P169" s="158"/>
      <c r="Q169" s="158"/>
      <c r="R169" s="158"/>
      <c r="S169" s="158"/>
      <c r="T169" s="158"/>
    </row>
    <row r="170">
      <c r="A170" s="152"/>
      <c r="B170" s="153"/>
      <c r="C170" s="152"/>
      <c r="D170" s="152"/>
      <c r="E170" s="154">
        <v>1544.0</v>
      </c>
      <c r="F170" s="152"/>
      <c r="G170" s="155"/>
      <c r="H170" s="153" t="s">
        <v>677</v>
      </c>
      <c r="I170" s="153" t="s">
        <v>661</v>
      </c>
      <c r="J170" s="156">
        <v>168.0</v>
      </c>
      <c r="K170" s="157" t="s">
        <v>662</v>
      </c>
      <c r="L170" s="158" t="s">
        <v>678</v>
      </c>
      <c r="M170" s="158"/>
      <c r="N170" s="158"/>
      <c r="O170" s="158"/>
      <c r="P170" s="158"/>
      <c r="Q170" s="158"/>
      <c r="R170" s="158"/>
      <c r="S170" s="158"/>
      <c r="T170" s="158"/>
    </row>
    <row r="171">
      <c r="A171" s="152"/>
      <c r="B171" s="153"/>
      <c r="C171" s="152"/>
      <c r="D171" s="152"/>
      <c r="E171" s="154">
        <v>1545.0</v>
      </c>
      <c r="F171" s="152"/>
      <c r="G171" s="155"/>
      <c r="H171" s="153" t="s">
        <v>679</v>
      </c>
      <c r="I171" s="153" t="s">
        <v>207</v>
      </c>
      <c r="J171" s="156">
        <v>169.0</v>
      </c>
      <c r="K171" s="157" t="s">
        <v>680</v>
      </c>
      <c r="L171" s="158" t="s">
        <v>681</v>
      </c>
      <c r="M171" s="158"/>
      <c r="N171" s="158"/>
      <c r="O171" s="158"/>
      <c r="P171" s="158"/>
      <c r="Q171" s="158"/>
      <c r="R171" s="158"/>
      <c r="S171" s="158"/>
      <c r="T171" s="158"/>
    </row>
    <row r="172">
      <c r="A172" s="152"/>
      <c r="B172" s="153"/>
      <c r="C172" s="152"/>
      <c r="D172" s="152"/>
      <c r="E172" s="154">
        <v>1546.0</v>
      </c>
      <c r="F172" s="152"/>
      <c r="G172" s="155"/>
      <c r="H172" s="153" t="s">
        <v>682</v>
      </c>
      <c r="I172" s="153" t="s">
        <v>246</v>
      </c>
      <c r="J172" s="156">
        <v>170.0</v>
      </c>
      <c r="K172" s="157" t="s">
        <v>683</v>
      </c>
      <c r="L172" s="158" t="s">
        <v>684</v>
      </c>
      <c r="M172" s="158"/>
      <c r="N172" s="158"/>
      <c r="O172" s="158"/>
      <c r="P172" s="158"/>
      <c r="Q172" s="158"/>
      <c r="R172" s="158"/>
      <c r="S172" s="158"/>
      <c r="T172" s="158"/>
    </row>
    <row r="173">
      <c r="A173" s="152"/>
      <c r="B173" s="153"/>
      <c r="C173" s="152"/>
      <c r="D173" s="152"/>
      <c r="E173" s="154">
        <v>1551.0</v>
      </c>
      <c r="F173" s="152"/>
      <c r="G173" s="155"/>
      <c r="H173" s="153" t="s">
        <v>685</v>
      </c>
      <c r="I173" s="153" t="s">
        <v>167</v>
      </c>
      <c r="J173" s="156">
        <v>171.0</v>
      </c>
      <c r="K173" s="157" t="s">
        <v>686</v>
      </c>
      <c r="L173" s="158" t="s">
        <v>687</v>
      </c>
      <c r="M173" s="158"/>
      <c r="N173" s="158"/>
      <c r="O173" s="158"/>
      <c r="P173" s="158"/>
      <c r="Q173" s="158"/>
      <c r="R173" s="158"/>
      <c r="S173" s="158"/>
      <c r="T173" s="158"/>
    </row>
    <row r="174">
      <c r="A174" s="152"/>
      <c r="B174" s="153"/>
      <c r="C174" s="152"/>
      <c r="D174" s="152"/>
      <c r="E174" s="154">
        <v>1552.0</v>
      </c>
      <c r="F174" s="152"/>
      <c r="G174" s="155"/>
      <c r="H174" s="153" t="s">
        <v>688</v>
      </c>
      <c r="I174" s="153" t="s">
        <v>156</v>
      </c>
      <c r="J174" s="156">
        <v>172.0</v>
      </c>
      <c r="K174" s="157" t="s">
        <v>689</v>
      </c>
      <c r="L174" s="158" t="s">
        <v>690</v>
      </c>
      <c r="M174" s="158"/>
      <c r="N174" s="158"/>
      <c r="O174" s="158"/>
      <c r="P174" s="158"/>
      <c r="Q174" s="158"/>
      <c r="R174" s="158"/>
      <c r="S174" s="158"/>
      <c r="T174" s="158"/>
    </row>
    <row r="175">
      <c r="A175" s="152"/>
      <c r="B175" s="153"/>
      <c r="C175" s="152"/>
      <c r="D175" s="152"/>
      <c r="E175" s="154">
        <v>1553.0</v>
      </c>
      <c r="F175" s="152"/>
      <c r="G175" s="155"/>
      <c r="H175" s="153" t="s">
        <v>691</v>
      </c>
      <c r="I175" s="153" t="s">
        <v>246</v>
      </c>
      <c r="J175" s="156">
        <v>173.0</v>
      </c>
      <c r="K175" s="157" t="s">
        <v>692</v>
      </c>
      <c r="L175" s="153" t="s">
        <v>693</v>
      </c>
      <c r="M175" s="153"/>
      <c r="N175" s="153"/>
      <c r="O175" s="153"/>
      <c r="P175" s="153"/>
      <c r="Q175" s="153"/>
      <c r="R175" s="153"/>
      <c r="S175" s="153"/>
      <c r="T175" s="153"/>
    </row>
    <row r="176">
      <c r="A176" s="152"/>
      <c r="B176" s="153"/>
      <c r="C176" s="152"/>
      <c r="D176" s="152"/>
      <c r="E176" s="154">
        <v>1554.0</v>
      </c>
      <c r="F176" s="152"/>
      <c r="G176" s="155"/>
      <c r="H176" s="153" t="s">
        <v>52</v>
      </c>
      <c r="I176" s="153" t="s">
        <v>188</v>
      </c>
      <c r="J176" s="156">
        <v>174.0</v>
      </c>
      <c r="K176" s="157" t="s">
        <v>694</v>
      </c>
      <c r="L176" s="158" t="s">
        <v>695</v>
      </c>
      <c r="M176" s="158"/>
      <c r="N176" s="158"/>
      <c r="O176" s="158"/>
      <c r="P176" s="158"/>
      <c r="Q176" s="158"/>
      <c r="R176" s="158"/>
      <c r="S176" s="158"/>
      <c r="T176" s="158"/>
    </row>
    <row r="177">
      <c r="A177" s="152"/>
      <c r="B177" s="153"/>
      <c r="C177" s="152"/>
      <c r="D177" s="152"/>
      <c r="E177" s="154">
        <v>1555.0</v>
      </c>
      <c r="F177" s="152"/>
      <c r="G177" s="155"/>
      <c r="H177" s="153" t="s">
        <v>696</v>
      </c>
      <c r="I177" s="153" t="s">
        <v>156</v>
      </c>
      <c r="J177" s="156">
        <v>175.0</v>
      </c>
      <c r="K177" s="157" t="s">
        <v>697</v>
      </c>
      <c r="L177" s="158" t="s">
        <v>698</v>
      </c>
      <c r="M177" s="158"/>
      <c r="N177" s="158"/>
      <c r="O177" s="158"/>
      <c r="P177" s="158"/>
      <c r="Q177" s="158"/>
      <c r="R177" s="158"/>
      <c r="S177" s="158"/>
      <c r="T177" s="158"/>
    </row>
    <row r="178">
      <c r="A178" s="152"/>
      <c r="B178" s="153"/>
      <c r="C178" s="152"/>
      <c r="D178" s="152"/>
      <c r="E178" s="154">
        <v>1556.0</v>
      </c>
      <c r="F178" s="152"/>
      <c r="G178" s="155"/>
      <c r="H178" s="153" t="s">
        <v>699</v>
      </c>
      <c r="I178" s="153" t="s">
        <v>156</v>
      </c>
      <c r="J178" s="156">
        <v>176.0</v>
      </c>
      <c r="K178" s="157" t="s">
        <v>700</v>
      </c>
      <c r="L178" s="158" t="s">
        <v>701</v>
      </c>
      <c r="M178" s="158"/>
      <c r="N178" s="158"/>
      <c r="O178" s="158"/>
      <c r="P178" s="158"/>
      <c r="Q178" s="158"/>
      <c r="R178" s="158"/>
      <c r="S178" s="158"/>
      <c r="T178" s="158"/>
    </row>
    <row r="179">
      <c r="A179" s="152"/>
      <c r="B179" s="153"/>
      <c r="C179" s="152"/>
      <c r="D179" s="152"/>
      <c r="E179" s="154">
        <v>1561.0</v>
      </c>
      <c r="F179" s="152"/>
      <c r="G179" s="155"/>
      <c r="H179" s="153" t="s">
        <v>702</v>
      </c>
      <c r="I179" s="153" t="s">
        <v>156</v>
      </c>
      <c r="J179" s="156">
        <v>177.0</v>
      </c>
      <c r="K179" s="157" t="s">
        <v>703</v>
      </c>
      <c r="L179" s="158" t="s">
        <v>704</v>
      </c>
      <c r="M179" s="158"/>
      <c r="N179" s="158"/>
      <c r="O179" s="158"/>
      <c r="P179" s="158"/>
      <c r="Q179" s="158"/>
      <c r="R179" s="158"/>
      <c r="S179" s="158"/>
      <c r="T179" s="158"/>
    </row>
    <row r="180">
      <c r="A180" s="152"/>
      <c r="B180" s="153"/>
      <c r="C180" s="152"/>
      <c r="D180" s="152"/>
      <c r="E180" s="154">
        <v>1562.0</v>
      </c>
      <c r="F180" s="152"/>
      <c r="G180" s="155"/>
      <c r="H180" s="153" t="s">
        <v>705</v>
      </c>
      <c r="I180" s="153" t="s">
        <v>246</v>
      </c>
      <c r="J180" s="156">
        <v>178.0</v>
      </c>
      <c r="K180" s="157" t="s">
        <v>262</v>
      </c>
      <c r="L180" s="158" t="s">
        <v>706</v>
      </c>
      <c r="M180" s="158"/>
      <c r="N180" s="158"/>
      <c r="O180" s="158"/>
      <c r="P180" s="158"/>
      <c r="Q180" s="158"/>
      <c r="R180" s="158"/>
      <c r="S180" s="158"/>
      <c r="T180" s="158"/>
    </row>
    <row r="181">
      <c r="A181" s="152"/>
      <c r="B181" s="153"/>
      <c r="C181" s="152"/>
      <c r="D181" s="152"/>
      <c r="E181" s="154">
        <v>1563.0</v>
      </c>
      <c r="F181" s="152"/>
      <c r="G181" s="155"/>
      <c r="H181" s="153" t="s">
        <v>707</v>
      </c>
      <c r="I181" s="153" t="s">
        <v>401</v>
      </c>
      <c r="J181" s="156">
        <v>179.0</v>
      </c>
      <c r="K181" s="157" t="s">
        <v>708</v>
      </c>
      <c r="L181" s="158" t="s">
        <v>709</v>
      </c>
      <c r="M181" s="158"/>
      <c r="N181" s="158"/>
      <c r="O181" s="158"/>
      <c r="P181" s="158"/>
      <c r="Q181" s="158"/>
      <c r="R181" s="158"/>
      <c r="S181" s="158"/>
      <c r="T181" s="158"/>
    </row>
    <row r="182">
      <c r="A182" s="152"/>
      <c r="B182" s="153"/>
      <c r="C182" s="152"/>
      <c r="D182" s="152"/>
      <c r="E182" s="154">
        <v>1564.0</v>
      </c>
      <c r="F182" s="152"/>
      <c r="G182" s="155"/>
      <c r="H182" s="153" t="s">
        <v>710</v>
      </c>
      <c r="I182" s="153" t="s">
        <v>167</v>
      </c>
      <c r="J182" s="156">
        <v>180.0</v>
      </c>
      <c r="K182" s="157" t="s">
        <v>711</v>
      </c>
      <c r="L182" s="158" t="s">
        <v>712</v>
      </c>
      <c r="M182" s="158"/>
      <c r="N182" s="158"/>
      <c r="O182" s="158"/>
      <c r="P182" s="158"/>
      <c r="Q182" s="158"/>
      <c r="R182" s="158"/>
      <c r="S182" s="158"/>
      <c r="T182" s="158"/>
    </row>
    <row r="183">
      <c r="A183" s="152"/>
      <c r="B183" s="153"/>
      <c r="C183" s="152"/>
      <c r="D183" s="152"/>
      <c r="E183" s="154">
        <v>1565.0</v>
      </c>
      <c r="F183" s="152"/>
      <c r="G183" s="155"/>
      <c r="H183" s="153" t="s">
        <v>713</v>
      </c>
      <c r="I183" s="153" t="s">
        <v>714</v>
      </c>
      <c r="J183" s="156">
        <v>181.0</v>
      </c>
      <c r="K183" s="157" t="s">
        <v>715</v>
      </c>
      <c r="L183" s="158" t="s">
        <v>716</v>
      </c>
      <c r="M183" s="158"/>
      <c r="N183" s="158"/>
      <c r="O183" s="158"/>
      <c r="P183" s="158"/>
      <c r="Q183" s="158"/>
      <c r="R183" s="158"/>
      <c r="S183" s="158"/>
      <c r="T183" s="158"/>
    </row>
    <row r="184">
      <c r="A184" s="152"/>
      <c r="B184" s="153"/>
      <c r="C184" s="152"/>
      <c r="D184" s="152"/>
      <c r="E184" s="154">
        <v>1566.0</v>
      </c>
      <c r="F184" s="152"/>
      <c r="G184" s="155"/>
      <c r="H184" s="153" t="s">
        <v>717</v>
      </c>
      <c r="I184" s="153" t="s">
        <v>167</v>
      </c>
      <c r="J184" s="156">
        <v>182.0</v>
      </c>
      <c r="K184" s="157" t="s">
        <v>718</v>
      </c>
      <c r="L184" s="158" t="s">
        <v>719</v>
      </c>
      <c r="M184" s="158"/>
      <c r="N184" s="158"/>
      <c r="O184" s="158"/>
      <c r="P184" s="158"/>
      <c r="Q184" s="158"/>
      <c r="R184" s="158"/>
      <c r="S184" s="158"/>
      <c r="T184" s="158"/>
    </row>
    <row r="185">
      <c r="A185" s="152"/>
      <c r="B185" s="153"/>
      <c r="C185" s="152"/>
      <c r="D185" s="152"/>
      <c r="E185" s="154">
        <v>1611.0</v>
      </c>
      <c r="F185" s="152"/>
      <c r="G185" s="155"/>
      <c r="H185" s="153" t="s">
        <v>720</v>
      </c>
      <c r="I185" s="153" t="s">
        <v>156</v>
      </c>
      <c r="J185" s="156">
        <v>183.0</v>
      </c>
      <c r="K185" s="157" t="s">
        <v>721</v>
      </c>
      <c r="L185" s="158" t="s">
        <v>722</v>
      </c>
      <c r="M185" s="158"/>
      <c r="N185" s="158"/>
      <c r="O185" s="158"/>
      <c r="P185" s="158"/>
      <c r="Q185" s="158"/>
      <c r="R185" s="158"/>
      <c r="S185" s="158"/>
      <c r="T185" s="158"/>
    </row>
    <row r="186">
      <c r="A186" s="152"/>
      <c r="B186" s="153"/>
      <c r="C186" s="152"/>
      <c r="D186" s="152"/>
      <c r="E186" s="154">
        <v>1612.0</v>
      </c>
      <c r="F186" s="152"/>
      <c r="G186" s="155"/>
      <c r="H186" s="153" t="s">
        <v>723</v>
      </c>
      <c r="I186" s="153" t="s">
        <v>246</v>
      </c>
      <c r="J186" s="156">
        <v>184.0</v>
      </c>
      <c r="K186" s="157" t="s">
        <v>724</v>
      </c>
      <c r="L186" s="158" t="s">
        <v>725</v>
      </c>
      <c r="M186" s="158"/>
      <c r="N186" s="158"/>
      <c r="O186" s="158"/>
      <c r="P186" s="158"/>
      <c r="Q186" s="158"/>
      <c r="R186" s="158"/>
      <c r="S186" s="158"/>
      <c r="T186" s="158"/>
    </row>
    <row r="187">
      <c r="A187" s="152"/>
      <c r="B187" s="153"/>
      <c r="C187" s="152"/>
      <c r="D187" s="152"/>
      <c r="E187" s="154">
        <v>1613.0</v>
      </c>
      <c r="F187" s="152"/>
      <c r="G187" s="155"/>
      <c r="H187" s="153" t="s">
        <v>726</v>
      </c>
      <c r="I187" s="153" t="s">
        <v>167</v>
      </c>
      <c r="J187" s="156">
        <v>185.0</v>
      </c>
      <c r="K187" s="157" t="s">
        <v>727</v>
      </c>
      <c r="L187" s="158" t="s">
        <v>728</v>
      </c>
      <c r="M187" s="158"/>
      <c r="N187" s="158"/>
      <c r="O187" s="158"/>
      <c r="P187" s="158"/>
      <c r="Q187" s="158"/>
      <c r="R187" s="158"/>
      <c r="S187" s="158"/>
      <c r="T187" s="158"/>
    </row>
    <row r="188">
      <c r="A188" s="152"/>
      <c r="B188" s="153"/>
      <c r="C188" s="152"/>
      <c r="D188" s="152"/>
      <c r="E188" s="154">
        <v>1614.0</v>
      </c>
      <c r="F188" s="152"/>
      <c r="G188" s="155"/>
      <c r="H188" s="153" t="s">
        <v>729</v>
      </c>
      <c r="I188" s="153" t="s">
        <v>167</v>
      </c>
      <c r="J188" s="156">
        <v>186.0</v>
      </c>
      <c r="K188" s="157" t="s">
        <v>730</v>
      </c>
      <c r="L188" s="158" t="s">
        <v>731</v>
      </c>
      <c r="M188" s="158"/>
      <c r="N188" s="158"/>
      <c r="O188" s="158"/>
      <c r="P188" s="158"/>
      <c r="Q188" s="158"/>
      <c r="R188" s="158"/>
      <c r="S188" s="158"/>
      <c r="T188" s="158"/>
    </row>
    <row r="189">
      <c r="A189" s="152"/>
      <c r="B189" s="153"/>
      <c r="C189" s="152"/>
      <c r="D189" s="152"/>
      <c r="E189" s="154">
        <v>1615.0</v>
      </c>
      <c r="F189" s="152"/>
      <c r="G189" s="155"/>
      <c r="H189" s="153" t="s">
        <v>732</v>
      </c>
      <c r="I189" s="153" t="s">
        <v>167</v>
      </c>
      <c r="J189" s="156">
        <v>187.0</v>
      </c>
      <c r="K189" s="157" t="s">
        <v>733</v>
      </c>
      <c r="L189" s="158" t="s">
        <v>734</v>
      </c>
      <c r="M189" s="158"/>
      <c r="N189" s="158"/>
      <c r="O189" s="158"/>
      <c r="P189" s="158"/>
      <c r="Q189" s="158"/>
      <c r="R189" s="158"/>
      <c r="S189" s="158"/>
      <c r="T189" s="158"/>
    </row>
    <row r="190">
      <c r="A190" s="152"/>
      <c r="B190" s="153"/>
      <c r="C190" s="152"/>
      <c r="D190" s="152"/>
      <c r="E190" s="154">
        <v>1616.0</v>
      </c>
      <c r="F190" s="152"/>
      <c r="G190" s="155"/>
      <c r="H190" s="153" t="s">
        <v>735</v>
      </c>
      <c r="I190" s="153" t="s">
        <v>167</v>
      </c>
      <c r="J190" s="156">
        <v>188.0</v>
      </c>
      <c r="K190" s="157" t="s">
        <v>736</v>
      </c>
      <c r="L190" s="158" t="s">
        <v>737</v>
      </c>
      <c r="M190" s="158"/>
      <c r="N190" s="158"/>
      <c r="O190" s="158"/>
      <c r="P190" s="158"/>
      <c r="Q190" s="158"/>
      <c r="R190" s="158"/>
      <c r="S190" s="158"/>
      <c r="T190" s="158"/>
    </row>
    <row r="191">
      <c r="A191" s="152"/>
      <c r="B191" s="153"/>
      <c r="C191" s="152"/>
      <c r="D191" s="152"/>
      <c r="E191" s="154">
        <v>1621.0</v>
      </c>
      <c r="F191" s="152"/>
      <c r="G191" s="155"/>
      <c r="H191" s="153" t="s">
        <v>738</v>
      </c>
      <c r="I191" s="153" t="s">
        <v>167</v>
      </c>
      <c r="J191" s="156">
        <v>189.0</v>
      </c>
      <c r="K191" s="157" t="s">
        <v>739</v>
      </c>
      <c r="L191" s="158" t="s">
        <v>740</v>
      </c>
      <c r="M191" s="158"/>
      <c r="N191" s="158"/>
      <c r="O191" s="158"/>
      <c r="P191" s="158"/>
      <c r="Q191" s="158"/>
      <c r="R191" s="158"/>
      <c r="S191" s="158"/>
      <c r="T191" s="158"/>
    </row>
    <row r="192">
      <c r="A192" s="152"/>
      <c r="B192" s="153"/>
      <c r="C192" s="152"/>
      <c r="D192" s="152"/>
      <c r="E192" s="154">
        <v>1622.0</v>
      </c>
      <c r="F192" s="152"/>
      <c r="G192" s="155"/>
      <c r="H192" s="153" t="s">
        <v>741</v>
      </c>
      <c r="I192" s="153" t="s">
        <v>167</v>
      </c>
      <c r="J192" s="156">
        <v>190.0</v>
      </c>
      <c r="K192" s="157" t="s">
        <v>742</v>
      </c>
      <c r="L192" s="158" t="s">
        <v>743</v>
      </c>
      <c r="M192" s="158"/>
      <c r="N192" s="158"/>
      <c r="O192" s="158"/>
      <c r="P192" s="158"/>
      <c r="Q192" s="158"/>
      <c r="R192" s="158"/>
      <c r="S192" s="158"/>
      <c r="T192" s="158"/>
    </row>
    <row r="193">
      <c r="A193" s="152"/>
      <c r="B193" s="153"/>
      <c r="C193" s="152"/>
      <c r="D193" s="152"/>
      <c r="E193" s="154">
        <v>1623.0</v>
      </c>
      <c r="F193" s="152"/>
      <c r="G193" s="155"/>
      <c r="H193" s="153" t="s">
        <v>744</v>
      </c>
      <c r="I193" s="153" t="s">
        <v>608</v>
      </c>
      <c r="J193" s="156">
        <v>191.0</v>
      </c>
      <c r="K193" s="157" t="s">
        <v>745</v>
      </c>
      <c r="L193" s="158" t="s">
        <v>746</v>
      </c>
      <c r="M193" s="158"/>
      <c r="N193" s="158"/>
      <c r="O193" s="158"/>
      <c r="P193" s="158"/>
      <c r="Q193" s="158"/>
      <c r="R193" s="158"/>
      <c r="S193" s="158"/>
      <c r="T193" s="158"/>
    </row>
    <row r="194">
      <c r="A194" s="152"/>
      <c r="B194" s="153"/>
      <c r="C194" s="152"/>
      <c r="D194" s="152"/>
      <c r="E194" s="154">
        <v>1624.0</v>
      </c>
      <c r="F194" s="152"/>
      <c r="G194" s="155"/>
      <c r="H194" s="153" t="s">
        <v>747</v>
      </c>
      <c r="I194" s="153" t="s">
        <v>167</v>
      </c>
      <c r="J194" s="156">
        <v>192.0</v>
      </c>
      <c r="K194" s="157" t="s">
        <v>748</v>
      </c>
      <c r="L194" s="158" t="s">
        <v>749</v>
      </c>
      <c r="M194" s="158"/>
      <c r="N194" s="158"/>
      <c r="O194" s="158"/>
      <c r="P194" s="158"/>
      <c r="Q194" s="158"/>
      <c r="R194" s="158"/>
      <c r="S194" s="158"/>
      <c r="T194" s="158"/>
    </row>
    <row r="195">
      <c r="A195" s="152"/>
      <c r="B195" s="153"/>
      <c r="C195" s="152"/>
      <c r="D195" s="152"/>
      <c r="E195" s="154">
        <v>1625.0</v>
      </c>
      <c r="F195" s="152"/>
      <c r="G195" s="155"/>
      <c r="H195" s="153" t="s">
        <v>750</v>
      </c>
      <c r="I195" s="153" t="s">
        <v>167</v>
      </c>
      <c r="J195" s="156">
        <v>193.0</v>
      </c>
      <c r="K195" s="157" t="s">
        <v>751</v>
      </c>
      <c r="L195" s="158" t="s">
        <v>752</v>
      </c>
      <c r="M195" s="158"/>
      <c r="N195" s="158"/>
      <c r="O195" s="158"/>
      <c r="P195" s="158"/>
      <c r="Q195" s="158"/>
      <c r="R195" s="158"/>
      <c r="S195" s="158"/>
      <c r="T195" s="158"/>
    </row>
    <row r="196">
      <c r="A196" s="152"/>
      <c r="B196" s="153"/>
      <c r="C196" s="152"/>
      <c r="D196" s="152"/>
      <c r="E196" s="154">
        <v>1626.0</v>
      </c>
      <c r="F196" s="152"/>
      <c r="G196" s="155"/>
      <c r="H196" s="153" t="s">
        <v>753</v>
      </c>
      <c r="I196" s="153" t="s">
        <v>167</v>
      </c>
      <c r="J196" s="156">
        <v>194.0</v>
      </c>
      <c r="K196" s="157" t="s">
        <v>754</v>
      </c>
      <c r="L196" s="158" t="s">
        <v>755</v>
      </c>
      <c r="M196" s="158"/>
      <c r="N196" s="158"/>
      <c r="O196" s="158"/>
      <c r="P196" s="158"/>
      <c r="Q196" s="158"/>
      <c r="R196" s="158"/>
      <c r="S196" s="158"/>
      <c r="T196" s="158"/>
    </row>
    <row r="197">
      <c r="A197" s="152"/>
      <c r="B197" s="153"/>
      <c r="C197" s="152"/>
      <c r="D197" s="152"/>
      <c r="E197" s="154">
        <v>1631.0</v>
      </c>
      <c r="F197" s="152"/>
      <c r="G197" s="155"/>
      <c r="H197" s="153" t="s">
        <v>756</v>
      </c>
      <c r="I197" s="153" t="s">
        <v>167</v>
      </c>
      <c r="J197" s="156">
        <v>195.0</v>
      </c>
      <c r="K197" s="157" t="s">
        <v>757</v>
      </c>
      <c r="L197" s="158" t="s">
        <v>758</v>
      </c>
      <c r="M197" s="158"/>
      <c r="N197" s="158"/>
      <c r="O197" s="158"/>
      <c r="P197" s="158"/>
      <c r="Q197" s="158"/>
      <c r="R197" s="158"/>
      <c r="S197" s="158"/>
      <c r="T197" s="158"/>
    </row>
    <row r="198">
      <c r="A198" s="152"/>
      <c r="B198" s="153"/>
      <c r="C198" s="152"/>
      <c r="D198" s="152"/>
      <c r="E198" s="154">
        <v>1632.0</v>
      </c>
      <c r="F198" s="152"/>
      <c r="G198" s="155"/>
      <c r="H198" s="153" t="s">
        <v>759</v>
      </c>
      <c r="I198" s="153" t="s">
        <v>167</v>
      </c>
      <c r="J198" s="156">
        <v>196.0</v>
      </c>
      <c r="K198" s="157" t="s">
        <v>760</v>
      </c>
      <c r="L198" s="158" t="s">
        <v>740</v>
      </c>
      <c r="M198" s="158"/>
      <c r="N198" s="158"/>
      <c r="O198" s="158"/>
      <c r="P198" s="158"/>
      <c r="Q198" s="158"/>
      <c r="R198" s="158"/>
      <c r="S198" s="158"/>
      <c r="T198" s="158"/>
    </row>
    <row r="199">
      <c r="A199" s="152"/>
      <c r="B199" s="153"/>
      <c r="C199" s="152"/>
      <c r="D199" s="152"/>
      <c r="E199" s="154">
        <v>1633.0</v>
      </c>
      <c r="F199" s="152"/>
      <c r="G199" s="155"/>
      <c r="H199" s="153" t="s">
        <v>761</v>
      </c>
      <c r="I199" s="153" t="s">
        <v>167</v>
      </c>
      <c r="J199" s="156">
        <v>197.0</v>
      </c>
      <c r="K199" s="157" t="s">
        <v>762</v>
      </c>
      <c r="L199" s="158" t="s">
        <v>763</v>
      </c>
      <c r="M199" s="158"/>
      <c r="N199" s="158"/>
      <c r="O199" s="158"/>
      <c r="P199" s="158"/>
      <c r="Q199" s="158"/>
      <c r="R199" s="158"/>
      <c r="S199" s="158"/>
      <c r="T199" s="158"/>
    </row>
    <row r="200">
      <c r="A200" s="152"/>
      <c r="B200" s="153"/>
      <c r="C200" s="152"/>
      <c r="D200" s="152"/>
      <c r="E200" s="154">
        <v>1634.0</v>
      </c>
      <c r="F200" s="152"/>
      <c r="G200" s="155"/>
      <c r="H200" s="153" t="s">
        <v>764</v>
      </c>
      <c r="I200" s="153" t="s">
        <v>167</v>
      </c>
      <c r="J200" s="156">
        <v>198.0</v>
      </c>
      <c r="K200" s="157" t="s">
        <v>765</v>
      </c>
      <c r="L200" s="158" t="s">
        <v>766</v>
      </c>
      <c r="M200" s="158"/>
      <c r="N200" s="158"/>
      <c r="O200" s="158"/>
      <c r="P200" s="158"/>
      <c r="Q200" s="158"/>
      <c r="R200" s="158"/>
      <c r="S200" s="158"/>
      <c r="T200" s="158"/>
    </row>
    <row r="201">
      <c r="A201" s="152"/>
      <c r="B201" s="153"/>
      <c r="C201" s="152"/>
      <c r="D201" s="152"/>
      <c r="E201" s="154">
        <v>1635.0</v>
      </c>
      <c r="F201" s="152"/>
      <c r="G201" s="155"/>
      <c r="H201" s="153" t="s">
        <v>767</v>
      </c>
      <c r="I201" s="153" t="s">
        <v>167</v>
      </c>
      <c r="J201" s="156">
        <v>199.0</v>
      </c>
      <c r="K201" s="157" t="s">
        <v>768</v>
      </c>
      <c r="L201" s="158" t="s">
        <v>734</v>
      </c>
      <c r="M201" s="158"/>
      <c r="N201" s="158"/>
      <c r="O201" s="158"/>
      <c r="P201" s="158"/>
      <c r="Q201" s="158"/>
      <c r="R201" s="158"/>
      <c r="S201" s="158"/>
      <c r="T201" s="158"/>
    </row>
    <row r="202">
      <c r="A202" s="152"/>
      <c r="B202" s="153"/>
      <c r="C202" s="152"/>
      <c r="D202" s="152"/>
      <c r="E202" s="154">
        <v>1636.0</v>
      </c>
      <c r="F202" s="152"/>
      <c r="G202" s="155"/>
      <c r="H202" s="153" t="s">
        <v>769</v>
      </c>
      <c r="I202" s="153" t="s">
        <v>167</v>
      </c>
      <c r="J202" s="156">
        <v>200.0</v>
      </c>
      <c r="K202" s="157" t="s">
        <v>770</v>
      </c>
      <c r="L202" s="158" t="s">
        <v>771</v>
      </c>
      <c r="M202" s="158"/>
      <c r="N202" s="158"/>
      <c r="O202" s="158"/>
      <c r="P202" s="158"/>
      <c r="Q202" s="158"/>
      <c r="R202" s="158"/>
      <c r="S202" s="158"/>
      <c r="T202" s="158"/>
    </row>
    <row r="203">
      <c r="A203" s="152"/>
      <c r="B203" s="153"/>
      <c r="C203" s="152"/>
      <c r="D203" s="152"/>
      <c r="E203" s="154">
        <v>1641.0</v>
      </c>
      <c r="F203" s="152"/>
      <c r="G203" s="155"/>
      <c r="H203" s="153" t="s">
        <v>772</v>
      </c>
      <c r="I203" s="153" t="s">
        <v>167</v>
      </c>
      <c r="J203" s="156">
        <v>201.0</v>
      </c>
      <c r="K203" s="157" t="s">
        <v>773</v>
      </c>
      <c r="L203" s="158" t="s">
        <v>774</v>
      </c>
      <c r="M203" s="158"/>
      <c r="N203" s="158"/>
      <c r="O203" s="158"/>
      <c r="P203" s="158"/>
      <c r="Q203" s="158"/>
      <c r="R203" s="158"/>
      <c r="S203" s="158"/>
      <c r="T203" s="158"/>
    </row>
    <row r="204">
      <c r="A204" s="152"/>
      <c r="B204" s="153"/>
      <c r="C204" s="152"/>
      <c r="D204" s="152"/>
      <c r="E204" s="154">
        <v>1642.0</v>
      </c>
      <c r="F204" s="152"/>
      <c r="G204" s="155"/>
      <c r="H204" s="153" t="s">
        <v>775</v>
      </c>
      <c r="I204" s="153" t="s">
        <v>167</v>
      </c>
      <c r="J204" s="156">
        <v>202.0</v>
      </c>
      <c r="K204" s="157" t="s">
        <v>776</v>
      </c>
      <c r="L204" s="158" t="s">
        <v>777</v>
      </c>
      <c r="M204" s="158"/>
      <c r="N204" s="158"/>
      <c r="O204" s="158"/>
      <c r="P204" s="158"/>
      <c r="Q204" s="158"/>
      <c r="R204" s="158"/>
      <c r="S204" s="158"/>
      <c r="T204" s="158"/>
    </row>
    <row r="205">
      <c r="A205" s="152"/>
      <c r="B205" s="153"/>
      <c r="C205" s="152"/>
      <c r="D205" s="152"/>
      <c r="E205" s="154">
        <v>1643.0</v>
      </c>
      <c r="F205" s="152"/>
      <c r="G205" s="155"/>
      <c r="H205" s="153" t="s">
        <v>778</v>
      </c>
      <c r="I205" s="153" t="s">
        <v>167</v>
      </c>
      <c r="J205" s="156">
        <v>203.0</v>
      </c>
      <c r="K205" s="157" t="s">
        <v>779</v>
      </c>
      <c r="L205" s="158" t="s">
        <v>780</v>
      </c>
      <c r="M205" s="158"/>
      <c r="N205" s="158"/>
      <c r="O205" s="158"/>
      <c r="P205" s="158"/>
      <c r="Q205" s="158"/>
      <c r="R205" s="158"/>
      <c r="S205" s="158"/>
      <c r="T205" s="158"/>
    </row>
    <row r="206">
      <c r="A206" s="152"/>
      <c r="B206" s="153"/>
      <c r="C206" s="152"/>
      <c r="D206" s="152"/>
      <c r="E206" s="154">
        <v>1644.0</v>
      </c>
      <c r="F206" s="152"/>
      <c r="G206" s="155"/>
      <c r="H206" s="153" t="s">
        <v>781</v>
      </c>
      <c r="I206" s="153" t="s">
        <v>167</v>
      </c>
      <c r="J206" s="156">
        <v>204.0</v>
      </c>
      <c r="K206" s="157" t="s">
        <v>782</v>
      </c>
      <c r="L206" s="158" t="s">
        <v>783</v>
      </c>
      <c r="M206" s="158"/>
      <c r="N206" s="158"/>
      <c r="O206" s="158"/>
      <c r="P206" s="158"/>
      <c r="Q206" s="158"/>
      <c r="R206" s="158"/>
      <c r="S206" s="158"/>
      <c r="T206" s="158"/>
    </row>
    <row r="207">
      <c r="A207" s="152"/>
      <c r="B207" s="153"/>
      <c r="C207" s="152"/>
      <c r="D207" s="152"/>
      <c r="E207" s="154">
        <v>1645.0</v>
      </c>
      <c r="F207" s="152"/>
      <c r="G207" s="155"/>
      <c r="H207" s="153" t="s">
        <v>784</v>
      </c>
      <c r="I207" s="153" t="s">
        <v>167</v>
      </c>
      <c r="J207" s="156">
        <v>205.0</v>
      </c>
      <c r="K207" s="157" t="s">
        <v>785</v>
      </c>
      <c r="L207" s="158" t="s">
        <v>786</v>
      </c>
      <c r="M207" s="158"/>
      <c r="N207" s="158"/>
      <c r="O207" s="158"/>
      <c r="P207" s="158"/>
      <c r="Q207" s="158"/>
      <c r="R207" s="158"/>
      <c r="S207" s="158"/>
      <c r="T207" s="158"/>
    </row>
    <row r="208">
      <c r="A208" s="152"/>
      <c r="B208" s="153"/>
      <c r="C208" s="152"/>
      <c r="D208" s="152"/>
      <c r="E208" s="154">
        <v>1646.0</v>
      </c>
      <c r="F208" s="152"/>
      <c r="G208" s="155"/>
      <c r="H208" s="153" t="s">
        <v>787</v>
      </c>
      <c r="I208" s="153" t="s">
        <v>167</v>
      </c>
      <c r="J208" s="156">
        <v>206.0</v>
      </c>
      <c r="K208" s="157" t="s">
        <v>788</v>
      </c>
      <c r="L208" s="158" t="s">
        <v>789</v>
      </c>
      <c r="M208" s="158"/>
      <c r="N208" s="158"/>
      <c r="O208" s="158"/>
      <c r="P208" s="158"/>
      <c r="Q208" s="158"/>
      <c r="R208" s="158"/>
      <c r="S208" s="158"/>
      <c r="T208" s="158"/>
    </row>
    <row r="209">
      <c r="A209" s="152"/>
      <c r="B209" s="153"/>
      <c r="C209" s="152"/>
      <c r="D209" s="152"/>
      <c r="E209" s="154">
        <v>1651.0</v>
      </c>
      <c r="F209" s="152"/>
      <c r="G209" s="155"/>
      <c r="H209" s="153" t="s">
        <v>790</v>
      </c>
      <c r="I209" s="153" t="s">
        <v>167</v>
      </c>
      <c r="J209" s="156">
        <v>207.0</v>
      </c>
      <c r="K209" s="157" t="s">
        <v>791</v>
      </c>
      <c r="L209" s="158" t="s">
        <v>792</v>
      </c>
      <c r="M209" s="158"/>
      <c r="N209" s="158"/>
      <c r="O209" s="158"/>
      <c r="P209" s="158"/>
      <c r="Q209" s="158"/>
      <c r="R209" s="158"/>
      <c r="S209" s="158"/>
      <c r="T209" s="158"/>
    </row>
    <row r="210">
      <c r="A210" s="152"/>
      <c r="B210" s="153"/>
      <c r="C210" s="152"/>
      <c r="D210" s="152"/>
      <c r="E210" s="154">
        <v>1652.0</v>
      </c>
      <c r="F210" s="152"/>
      <c r="G210" s="155"/>
      <c r="H210" s="153" t="s">
        <v>793</v>
      </c>
      <c r="I210" s="153" t="s">
        <v>167</v>
      </c>
      <c r="J210" s="156">
        <v>208.0</v>
      </c>
      <c r="K210" s="157" t="s">
        <v>794</v>
      </c>
      <c r="L210" s="158" t="s">
        <v>795</v>
      </c>
      <c r="M210" s="158"/>
      <c r="N210" s="158"/>
      <c r="O210" s="158"/>
      <c r="P210" s="158"/>
      <c r="Q210" s="158"/>
      <c r="R210" s="158"/>
      <c r="S210" s="158"/>
      <c r="T210" s="158"/>
    </row>
    <row r="211">
      <c r="A211" s="152"/>
      <c r="B211" s="153"/>
      <c r="C211" s="152"/>
      <c r="D211" s="152"/>
      <c r="E211" s="154">
        <v>1653.0</v>
      </c>
      <c r="F211" s="152"/>
      <c r="G211" s="155"/>
      <c r="H211" s="153" t="s">
        <v>796</v>
      </c>
      <c r="I211" s="153" t="s">
        <v>167</v>
      </c>
      <c r="J211" s="156">
        <v>209.0</v>
      </c>
      <c r="K211" s="157" t="s">
        <v>797</v>
      </c>
      <c r="L211" s="158" t="s">
        <v>798</v>
      </c>
      <c r="M211" s="158"/>
      <c r="N211" s="158"/>
      <c r="O211" s="158"/>
      <c r="P211" s="158"/>
      <c r="Q211" s="158"/>
      <c r="R211" s="158"/>
      <c r="S211" s="158"/>
      <c r="T211" s="158"/>
    </row>
    <row r="212">
      <c r="A212" s="152"/>
      <c r="B212" s="153"/>
      <c r="C212" s="152"/>
      <c r="D212" s="152"/>
      <c r="E212" s="154">
        <v>1654.0</v>
      </c>
      <c r="F212" s="152"/>
      <c r="G212" s="155"/>
      <c r="H212" s="153" t="s">
        <v>799</v>
      </c>
      <c r="I212" s="153" t="s">
        <v>167</v>
      </c>
      <c r="J212" s="156">
        <v>210.0</v>
      </c>
      <c r="K212" s="157" t="s">
        <v>800</v>
      </c>
      <c r="L212" s="158" t="s">
        <v>801</v>
      </c>
      <c r="M212" s="158"/>
      <c r="N212" s="158"/>
      <c r="O212" s="158"/>
      <c r="P212" s="158"/>
      <c r="Q212" s="158"/>
      <c r="R212" s="158"/>
      <c r="S212" s="158"/>
      <c r="T212" s="158"/>
    </row>
    <row r="213">
      <c r="A213" s="152"/>
      <c r="B213" s="153"/>
      <c r="C213" s="152"/>
      <c r="D213" s="152"/>
      <c r="E213" s="154">
        <v>1655.0</v>
      </c>
      <c r="F213" s="152"/>
      <c r="G213" s="155"/>
      <c r="H213" s="153" t="s">
        <v>802</v>
      </c>
      <c r="I213" s="153" t="s">
        <v>608</v>
      </c>
      <c r="J213" s="156">
        <v>211.0</v>
      </c>
      <c r="K213" s="157" t="s">
        <v>803</v>
      </c>
      <c r="L213" s="158" t="s">
        <v>804</v>
      </c>
      <c r="M213" s="158"/>
      <c r="N213" s="158"/>
      <c r="O213" s="158"/>
      <c r="P213" s="158"/>
      <c r="Q213" s="158"/>
      <c r="R213" s="158"/>
      <c r="S213" s="158"/>
      <c r="T213" s="158"/>
    </row>
    <row r="214">
      <c r="A214" s="152"/>
      <c r="B214" s="153"/>
      <c r="C214" s="152"/>
      <c r="D214" s="152"/>
      <c r="E214" s="154">
        <v>1656.0</v>
      </c>
      <c r="F214" s="152"/>
      <c r="G214" s="155"/>
      <c r="H214" s="153" t="s">
        <v>805</v>
      </c>
      <c r="I214" s="153" t="s">
        <v>608</v>
      </c>
      <c r="J214" s="156">
        <v>212.0</v>
      </c>
      <c r="K214" s="157" t="s">
        <v>806</v>
      </c>
      <c r="L214" s="158" t="s">
        <v>807</v>
      </c>
      <c r="M214" s="158"/>
      <c r="N214" s="158"/>
      <c r="O214" s="158"/>
      <c r="P214" s="158"/>
      <c r="Q214" s="158"/>
      <c r="R214" s="158"/>
      <c r="S214" s="158"/>
      <c r="T214" s="158"/>
    </row>
    <row r="215">
      <c r="A215" s="152"/>
      <c r="B215" s="153"/>
      <c r="C215" s="152"/>
      <c r="D215" s="152"/>
      <c r="E215" s="154">
        <v>1661.0</v>
      </c>
      <c r="F215" s="152"/>
      <c r="G215" s="155"/>
      <c r="H215" s="153" t="s">
        <v>808</v>
      </c>
      <c r="I215" s="153" t="s">
        <v>608</v>
      </c>
      <c r="J215" s="156">
        <v>213.0</v>
      </c>
      <c r="K215" s="157" t="s">
        <v>809</v>
      </c>
      <c r="L215" s="158" t="s">
        <v>810</v>
      </c>
      <c r="M215" s="158"/>
      <c r="N215" s="158"/>
      <c r="O215" s="158"/>
      <c r="P215" s="158"/>
      <c r="Q215" s="158"/>
      <c r="R215" s="158"/>
      <c r="S215" s="158"/>
      <c r="T215" s="158"/>
    </row>
    <row r="216">
      <c r="A216" s="152"/>
      <c r="B216" s="153"/>
      <c r="C216" s="152"/>
      <c r="D216" s="152"/>
      <c r="E216" s="154">
        <v>1662.0</v>
      </c>
      <c r="F216" s="152"/>
      <c r="G216" s="155"/>
      <c r="H216" s="153" t="s">
        <v>811</v>
      </c>
      <c r="I216" s="153" t="s">
        <v>608</v>
      </c>
      <c r="J216" s="156">
        <v>214.0</v>
      </c>
      <c r="K216" s="157" t="s">
        <v>812</v>
      </c>
      <c r="L216" s="158" t="s">
        <v>813</v>
      </c>
      <c r="M216" s="158"/>
      <c r="N216" s="158"/>
      <c r="O216" s="158"/>
      <c r="P216" s="158"/>
      <c r="Q216" s="158"/>
      <c r="R216" s="158"/>
      <c r="S216" s="158"/>
      <c r="T216" s="158"/>
    </row>
    <row r="217">
      <c r="A217" s="152"/>
      <c r="B217" s="153"/>
      <c r="C217" s="152"/>
      <c r="D217" s="152"/>
      <c r="E217" s="154">
        <v>1663.0</v>
      </c>
      <c r="F217" s="152"/>
      <c r="G217" s="155"/>
      <c r="H217" s="153" t="s">
        <v>814</v>
      </c>
      <c r="I217" s="153" t="s">
        <v>608</v>
      </c>
      <c r="J217" s="156">
        <v>215.0</v>
      </c>
      <c r="K217" s="157" t="s">
        <v>815</v>
      </c>
      <c r="L217" s="158" t="s">
        <v>816</v>
      </c>
      <c r="M217" s="158"/>
      <c r="N217" s="158"/>
      <c r="O217" s="158"/>
      <c r="P217" s="158"/>
      <c r="Q217" s="158"/>
      <c r="R217" s="158"/>
      <c r="S217" s="158"/>
      <c r="T217" s="158"/>
    </row>
    <row r="218">
      <c r="A218" s="152"/>
      <c r="B218" s="153"/>
      <c r="C218" s="152"/>
      <c r="D218" s="152"/>
      <c r="E218" s="154">
        <v>1664.0</v>
      </c>
      <c r="F218" s="152"/>
      <c r="G218" s="155"/>
      <c r="H218" s="153" t="s">
        <v>817</v>
      </c>
      <c r="I218" s="153" t="s">
        <v>608</v>
      </c>
      <c r="J218" s="156">
        <v>216.0</v>
      </c>
      <c r="K218" s="157" t="s">
        <v>818</v>
      </c>
      <c r="L218" s="158" t="s">
        <v>819</v>
      </c>
      <c r="M218" s="158"/>
      <c r="N218" s="158"/>
      <c r="O218" s="158"/>
      <c r="P218" s="158"/>
      <c r="Q218" s="158"/>
      <c r="R218" s="158"/>
      <c r="S218" s="158"/>
      <c r="T218" s="158"/>
    </row>
    <row r="219">
      <c r="A219" s="152"/>
      <c r="B219" s="153"/>
      <c r="C219" s="152"/>
      <c r="D219" s="152"/>
      <c r="E219" s="154">
        <v>1665.0</v>
      </c>
      <c r="F219" s="152"/>
      <c r="G219" s="155"/>
      <c r="H219" s="153" t="s">
        <v>820</v>
      </c>
      <c r="I219" s="153" t="s">
        <v>608</v>
      </c>
      <c r="J219" s="156">
        <v>217.0</v>
      </c>
      <c r="K219" s="157" t="s">
        <v>821</v>
      </c>
      <c r="L219" s="158" t="s">
        <v>822</v>
      </c>
      <c r="M219" s="158"/>
      <c r="N219" s="158"/>
      <c r="O219" s="158"/>
      <c r="P219" s="158"/>
      <c r="Q219" s="158"/>
      <c r="R219" s="158"/>
      <c r="S219" s="158"/>
      <c r="T219" s="158"/>
    </row>
    <row r="220">
      <c r="A220" s="152"/>
      <c r="B220" s="153"/>
      <c r="C220" s="152"/>
      <c r="D220" s="152"/>
      <c r="E220" s="154">
        <v>1666.0</v>
      </c>
      <c r="F220" s="152"/>
      <c r="G220" s="155"/>
      <c r="H220" s="153" t="s">
        <v>823</v>
      </c>
      <c r="I220" s="153" t="s">
        <v>824</v>
      </c>
      <c r="J220" s="156">
        <v>218.0</v>
      </c>
      <c r="K220" s="157" t="s">
        <v>825</v>
      </c>
      <c r="L220" s="158" t="s">
        <v>826</v>
      </c>
      <c r="M220" s="158"/>
      <c r="N220" s="158"/>
      <c r="O220" s="158"/>
      <c r="P220" s="158"/>
      <c r="Q220" s="158"/>
      <c r="R220" s="158"/>
      <c r="S220" s="158"/>
      <c r="T220" s="158"/>
    </row>
    <row r="221">
      <c r="A221" s="152"/>
      <c r="B221" s="153"/>
      <c r="C221" s="152"/>
      <c r="D221" s="152"/>
      <c r="E221" s="154">
        <v>2111.0</v>
      </c>
      <c r="F221" s="152"/>
      <c r="G221" s="155"/>
      <c r="H221" s="153" t="s">
        <v>827</v>
      </c>
      <c r="I221" s="153" t="s">
        <v>631</v>
      </c>
      <c r="J221" s="156">
        <v>219.0</v>
      </c>
      <c r="K221" s="157" t="s">
        <v>828</v>
      </c>
      <c r="L221" s="158" t="s">
        <v>829</v>
      </c>
      <c r="M221" s="158"/>
      <c r="N221" s="158"/>
      <c r="O221" s="158"/>
      <c r="P221" s="158"/>
      <c r="Q221" s="158"/>
      <c r="R221" s="158"/>
      <c r="S221" s="158"/>
      <c r="T221" s="158"/>
    </row>
    <row r="222">
      <c r="A222" s="152"/>
      <c r="B222" s="153"/>
      <c r="C222" s="152"/>
      <c r="D222" s="152"/>
      <c r="E222" s="154">
        <v>2112.0</v>
      </c>
      <c r="F222" s="152"/>
      <c r="G222" s="155"/>
      <c r="H222" s="153" t="s">
        <v>830</v>
      </c>
      <c r="I222" s="153" t="s">
        <v>156</v>
      </c>
      <c r="J222" s="156">
        <v>220.0</v>
      </c>
      <c r="K222" s="157" t="s">
        <v>831</v>
      </c>
      <c r="L222" s="158" t="s">
        <v>832</v>
      </c>
      <c r="M222" s="158"/>
      <c r="N222" s="158"/>
      <c r="O222" s="158"/>
      <c r="P222" s="158"/>
      <c r="Q222" s="158"/>
      <c r="R222" s="158"/>
      <c r="S222" s="158"/>
      <c r="T222" s="158"/>
    </row>
    <row r="223">
      <c r="A223" s="152"/>
      <c r="B223" s="153"/>
      <c r="C223" s="152"/>
      <c r="D223" s="152"/>
      <c r="E223" s="154">
        <v>2113.0</v>
      </c>
      <c r="F223" s="152"/>
      <c r="G223" s="155"/>
      <c r="H223" s="153" t="s">
        <v>833</v>
      </c>
      <c r="I223" s="153" t="s">
        <v>156</v>
      </c>
      <c r="J223" s="156">
        <v>221.0</v>
      </c>
      <c r="K223" s="157" t="s">
        <v>834</v>
      </c>
      <c r="L223" s="158" t="s">
        <v>835</v>
      </c>
      <c r="M223" s="158"/>
      <c r="N223" s="158"/>
      <c r="O223" s="158"/>
      <c r="P223" s="158"/>
      <c r="Q223" s="158"/>
      <c r="R223" s="158"/>
      <c r="S223" s="158"/>
      <c r="T223" s="158"/>
    </row>
    <row r="224">
      <c r="A224" s="152"/>
      <c r="B224" s="153"/>
      <c r="C224" s="152"/>
      <c r="D224" s="152"/>
      <c r="E224" s="154">
        <v>2114.0</v>
      </c>
      <c r="F224" s="152"/>
      <c r="G224" s="155"/>
      <c r="H224" s="153" t="s">
        <v>836</v>
      </c>
      <c r="I224" s="153" t="s">
        <v>156</v>
      </c>
      <c r="J224" s="156">
        <v>222.0</v>
      </c>
      <c r="K224" s="157" t="s">
        <v>837</v>
      </c>
      <c r="L224" s="158" t="s">
        <v>838</v>
      </c>
      <c r="M224" s="158"/>
      <c r="N224" s="158"/>
      <c r="O224" s="158"/>
      <c r="P224" s="158"/>
      <c r="Q224" s="158"/>
      <c r="R224" s="158"/>
      <c r="S224" s="158"/>
      <c r="T224" s="158"/>
    </row>
    <row r="225">
      <c r="A225" s="152"/>
      <c r="B225" s="153"/>
      <c r="C225" s="152"/>
      <c r="D225" s="152"/>
      <c r="E225" s="154">
        <v>2115.0</v>
      </c>
      <c r="F225" s="152"/>
      <c r="G225" s="155"/>
      <c r="H225" s="153" t="s">
        <v>839</v>
      </c>
      <c r="I225" s="153" t="s">
        <v>631</v>
      </c>
      <c r="J225" s="156">
        <v>223.0</v>
      </c>
      <c r="K225" s="157" t="s">
        <v>840</v>
      </c>
      <c r="L225" s="158" t="s">
        <v>841</v>
      </c>
      <c r="M225" s="158"/>
      <c r="N225" s="158"/>
      <c r="O225" s="158"/>
      <c r="P225" s="158"/>
      <c r="Q225" s="158"/>
      <c r="R225" s="158"/>
      <c r="S225" s="158"/>
      <c r="T225" s="158"/>
    </row>
    <row r="226">
      <c r="A226" s="152"/>
      <c r="B226" s="153"/>
      <c r="C226" s="152"/>
      <c r="D226" s="152"/>
      <c r="E226" s="154">
        <v>2116.0</v>
      </c>
      <c r="F226" s="152"/>
      <c r="G226" s="155"/>
      <c r="H226" s="153" t="s">
        <v>842</v>
      </c>
      <c r="I226" s="153" t="s">
        <v>167</v>
      </c>
      <c r="J226" s="156">
        <v>224.0</v>
      </c>
      <c r="K226" s="157" t="s">
        <v>843</v>
      </c>
      <c r="L226" s="158" t="s">
        <v>844</v>
      </c>
      <c r="M226" s="158"/>
      <c r="N226" s="158"/>
      <c r="O226" s="158"/>
      <c r="P226" s="158"/>
      <c r="Q226" s="158"/>
      <c r="R226" s="158"/>
      <c r="S226" s="158"/>
      <c r="T226" s="158"/>
    </row>
    <row r="227">
      <c r="A227" s="152"/>
      <c r="B227" s="153"/>
      <c r="C227" s="152"/>
      <c r="D227" s="152"/>
      <c r="E227" s="154">
        <v>2121.0</v>
      </c>
      <c r="F227" s="152"/>
      <c r="G227" s="155"/>
      <c r="H227" s="153" t="s">
        <v>845</v>
      </c>
      <c r="I227" s="153" t="s">
        <v>188</v>
      </c>
      <c r="J227" s="156">
        <v>225.0</v>
      </c>
      <c r="K227" s="157" t="s">
        <v>846</v>
      </c>
      <c r="L227" s="158" t="s">
        <v>847</v>
      </c>
      <c r="M227" s="158"/>
      <c r="N227" s="158"/>
      <c r="O227" s="158"/>
      <c r="P227" s="158"/>
      <c r="Q227" s="158"/>
      <c r="R227" s="158"/>
      <c r="S227" s="158"/>
      <c r="T227" s="158"/>
    </row>
    <row r="228">
      <c r="A228" s="152"/>
      <c r="B228" s="153"/>
      <c r="C228" s="152"/>
      <c r="D228" s="152"/>
      <c r="E228" s="154">
        <v>2122.0</v>
      </c>
      <c r="F228" s="152"/>
      <c r="G228" s="155"/>
      <c r="H228" s="153" t="s">
        <v>848</v>
      </c>
      <c r="I228" s="153" t="s">
        <v>246</v>
      </c>
      <c r="J228" s="156">
        <v>226.0</v>
      </c>
      <c r="K228" s="157" t="s">
        <v>849</v>
      </c>
      <c r="L228" s="158" t="s">
        <v>850</v>
      </c>
      <c r="M228" s="158"/>
      <c r="N228" s="158"/>
      <c r="O228" s="158"/>
      <c r="P228" s="158"/>
      <c r="Q228" s="158"/>
      <c r="R228" s="158"/>
      <c r="S228" s="158"/>
      <c r="T228" s="158"/>
    </row>
    <row r="229">
      <c r="A229" s="152"/>
      <c r="B229" s="153"/>
      <c r="C229" s="152"/>
      <c r="D229" s="152"/>
      <c r="E229" s="154">
        <v>2123.0</v>
      </c>
      <c r="F229" s="152"/>
      <c r="G229" s="155"/>
      <c r="H229" s="153" t="s">
        <v>851</v>
      </c>
      <c r="I229" s="153" t="s">
        <v>188</v>
      </c>
      <c r="J229" s="156">
        <v>227.0</v>
      </c>
      <c r="K229" s="157" t="s">
        <v>852</v>
      </c>
      <c r="L229" s="158" t="s">
        <v>853</v>
      </c>
      <c r="M229" s="158"/>
      <c r="N229" s="158"/>
      <c r="O229" s="158"/>
      <c r="P229" s="158"/>
      <c r="Q229" s="158"/>
      <c r="R229" s="158"/>
      <c r="S229" s="158"/>
      <c r="T229" s="158"/>
    </row>
    <row r="230">
      <c r="A230" s="152"/>
      <c r="B230" s="153"/>
      <c r="C230" s="152"/>
      <c r="D230" s="152"/>
      <c r="E230" s="154">
        <v>2124.0</v>
      </c>
      <c r="F230" s="152"/>
      <c r="G230" s="155"/>
      <c r="H230" s="153" t="s">
        <v>854</v>
      </c>
      <c r="I230" s="153" t="s">
        <v>182</v>
      </c>
      <c r="J230" s="156">
        <v>228.0</v>
      </c>
      <c r="K230" s="157" t="s">
        <v>855</v>
      </c>
      <c r="L230" s="158" t="s">
        <v>856</v>
      </c>
      <c r="M230" s="158"/>
      <c r="N230" s="158"/>
      <c r="O230" s="158"/>
      <c r="P230" s="158"/>
      <c r="Q230" s="158"/>
      <c r="R230" s="158"/>
      <c r="S230" s="158"/>
      <c r="T230" s="158"/>
    </row>
    <row r="231">
      <c r="A231" s="152"/>
      <c r="B231" s="153"/>
      <c r="C231" s="152"/>
      <c r="D231" s="152"/>
      <c r="E231" s="154">
        <v>2125.0</v>
      </c>
      <c r="F231" s="152"/>
      <c r="G231" s="155"/>
      <c r="H231" s="153" t="s">
        <v>857</v>
      </c>
      <c r="I231" s="153" t="s">
        <v>182</v>
      </c>
      <c r="J231" s="156">
        <v>229.0</v>
      </c>
      <c r="K231" s="157" t="s">
        <v>858</v>
      </c>
      <c r="L231" s="158" t="s">
        <v>859</v>
      </c>
      <c r="M231" s="158"/>
      <c r="N231" s="158"/>
      <c r="O231" s="158"/>
      <c r="P231" s="158"/>
      <c r="Q231" s="158"/>
      <c r="R231" s="158"/>
      <c r="S231" s="158"/>
      <c r="T231" s="158"/>
    </row>
    <row r="232">
      <c r="A232" s="152"/>
      <c r="B232" s="153"/>
      <c r="C232" s="152"/>
      <c r="D232" s="152"/>
      <c r="E232" s="154">
        <v>2126.0</v>
      </c>
      <c r="F232" s="152"/>
      <c r="G232" s="155"/>
      <c r="H232" s="153" t="s">
        <v>860</v>
      </c>
      <c r="I232" s="153" t="s">
        <v>182</v>
      </c>
      <c r="J232" s="156">
        <v>230.0</v>
      </c>
      <c r="K232" s="157" t="s">
        <v>861</v>
      </c>
      <c r="L232" s="158" t="s">
        <v>862</v>
      </c>
      <c r="M232" s="158"/>
      <c r="N232" s="158"/>
      <c r="O232" s="158"/>
      <c r="P232" s="158"/>
      <c r="Q232" s="158"/>
      <c r="R232" s="158"/>
      <c r="S232" s="158"/>
      <c r="T232" s="158"/>
    </row>
    <row r="233">
      <c r="A233" s="152"/>
      <c r="B233" s="153"/>
      <c r="C233" s="152"/>
      <c r="D233" s="152"/>
      <c r="E233" s="154">
        <v>2131.0</v>
      </c>
      <c r="F233" s="152"/>
      <c r="G233" s="155"/>
      <c r="H233" s="153" t="s">
        <v>863</v>
      </c>
      <c r="I233" s="153" t="s">
        <v>182</v>
      </c>
      <c r="J233" s="156">
        <v>231.0</v>
      </c>
      <c r="K233" s="157" t="s">
        <v>864</v>
      </c>
      <c r="L233" s="158" t="s">
        <v>865</v>
      </c>
      <c r="M233" s="158"/>
      <c r="N233" s="158"/>
      <c r="O233" s="158"/>
      <c r="P233" s="158"/>
      <c r="Q233" s="158"/>
      <c r="R233" s="158"/>
      <c r="S233" s="158"/>
      <c r="T233" s="158"/>
    </row>
    <row r="234">
      <c r="A234" s="152"/>
      <c r="B234" s="153"/>
      <c r="C234" s="152"/>
      <c r="D234" s="152"/>
      <c r="E234" s="154">
        <v>2132.0</v>
      </c>
      <c r="F234" s="152"/>
      <c r="G234" s="155"/>
      <c r="H234" s="153" t="s">
        <v>866</v>
      </c>
      <c r="I234" s="153" t="s">
        <v>188</v>
      </c>
      <c r="J234" s="156">
        <v>232.0</v>
      </c>
      <c r="K234" s="157" t="s">
        <v>867</v>
      </c>
      <c r="L234" s="158" t="s">
        <v>868</v>
      </c>
      <c r="M234" s="158"/>
      <c r="N234" s="158"/>
      <c r="O234" s="158"/>
      <c r="P234" s="158"/>
      <c r="Q234" s="158"/>
      <c r="R234" s="158"/>
      <c r="S234" s="158"/>
      <c r="T234" s="158"/>
    </row>
    <row r="235">
      <c r="A235" s="152"/>
      <c r="B235" s="153"/>
      <c r="C235" s="152"/>
      <c r="D235" s="152"/>
      <c r="E235" s="154">
        <v>2133.0</v>
      </c>
      <c r="F235" s="152"/>
      <c r="G235" s="155"/>
      <c r="H235" s="153" t="s">
        <v>869</v>
      </c>
      <c r="I235" s="153" t="s">
        <v>415</v>
      </c>
      <c r="J235" s="156">
        <v>233.0</v>
      </c>
      <c r="K235" s="157" t="s">
        <v>870</v>
      </c>
      <c r="L235" s="158" t="s">
        <v>871</v>
      </c>
      <c r="M235" s="158"/>
      <c r="N235" s="158"/>
      <c r="O235" s="158"/>
      <c r="P235" s="158"/>
      <c r="Q235" s="158"/>
      <c r="R235" s="158"/>
      <c r="S235" s="158"/>
      <c r="T235" s="158"/>
    </row>
    <row r="236">
      <c r="A236" s="152"/>
      <c r="B236" s="153"/>
      <c r="C236" s="152"/>
      <c r="D236" s="152"/>
      <c r="E236" s="154">
        <v>2134.0</v>
      </c>
      <c r="F236" s="152"/>
      <c r="G236" s="155"/>
      <c r="H236" s="153" t="s">
        <v>872</v>
      </c>
      <c r="I236" s="153" t="s">
        <v>401</v>
      </c>
      <c r="J236" s="156">
        <v>234.0</v>
      </c>
      <c r="K236" s="157" t="s">
        <v>873</v>
      </c>
      <c r="L236" s="158" t="s">
        <v>874</v>
      </c>
      <c r="M236" s="158"/>
      <c r="N236" s="158"/>
      <c r="O236" s="158"/>
      <c r="P236" s="158"/>
      <c r="Q236" s="158"/>
      <c r="R236" s="158"/>
      <c r="S236" s="158"/>
      <c r="T236" s="158"/>
    </row>
    <row r="237">
      <c r="A237" s="152"/>
      <c r="B237" s="153"/>
      <c r="C237" s="152"/>
      <c r="D237" s="152"/>
      <c r="E237" s="154">
        <v>2135.0</v>
      </c>
      <c r="F237" s="152"/>
      <c r="G237" s="155"/>
      <c r="H237" s="153" t="s">
        <v>875</v>
      </c>
      <c r="I237" s="153" t="s">
        <v>230</v>
      </c>
      <c r="J237" s="156">
        <v>235.0</v>
      </c>
      <c r="K237" s="157" t="s">
        <v>876</v>
      </c>
      <c r="L237" s="158" t="s">
        <v>877</v>
      </c>
      <c r="M237" s="158"/>
      <c r="N237" s="158"/>
      <c r="O237" s="158"/>
      <c r="P237" s="158"/>
      <c r="Q237" s="158"/>
      <c r="R237" s="158"/>
      <c r="S237" s="158"/>
      <c r="T237" s="158"/>
    </row>
    <row r="238">
      <c r="A238" s="152"/>
      <c r="B238" s="153"/>
      <c r="C238" s="152"/>
      <c r="D238" s="152"/>
      <c r="E238" s="154">
        <v>2136.0</v>
      </c>
      <c r="F238" s="152"/>
      <c r="G238" s="155"/>
      <c r="H238" s="153" t="s">
        <v>878</v>
      </c>
      <c r="I238" s="153" t="s">
        <v>230</v>
      </c>
      <c r="J238" s="156">
        <v>236.0</v>
      </c>
      <c r="K238" s="157" t="s">
        <v>879</v>
      </c>
      <c r="L238" s="158" t="s">
        <v>880</v>
      </c>
      <c r="M238" s="158"/>
      <c r="N238" s="158"/>
      <c r="O238" s="158"/>
      <c r="P238" s="158"/>
      <c r="Q238" s="158"/>
      <c r="R238" s="158"/>
      <c r="S238" s="158"/>
      <c r="T238" s="158"/>
    </row>
    <row r="239">
      <c r="A239" s="152"/>
      <c r="B239" s="153"/>
      <c r="C239" s="152"/>
      <c r="D239" s="152"/>
      <c r="E239" s="154">
        <v>2141.0</v>
      </c>
      <c r="F239" s="152"/>
      <c r="G239" s="155"/>
      <c r="H239" s="153" t="s">
        <v>881</v>
      </c>
      <c r="I239" s="153" t="s">
        <v>230</v>
      </c>
      <c r="J239" s="156">
        <v>237.0</v>
      </c>
      <c r="K239" s="157" t="s">
        <v>882</v>
      </c>
      <c r="L239" s="158" t="s">
        <v>883</v>
      </c>
      <c r="M239" s="158"/>
      <c r="N239" s="158"/>
      <c r="O239" s="158"/>
      <c r="P239" s="158"/>
      <c r="Q239" s="158"/>
      <c r="R239" s="158"/>
      <c r="S239" s="158"/>
      <c r="T239" s="158"/>
    </row>
    <row r="240">
      <c r="A240" s="152"/>
      <c r="B240" s="153"/>
      <c r="C240" s="152"/>
      <c r="D240" s="152"/>
      <c r="E240" s="154">
        <v>2142.0</v>
      </c>
      <c r="F240" s="152"/>
      <c r="G240" s="155"/>
      <c r="H240" s="153" t="s">
        <v>884</v>
      </c>
      <c r="I240" s="153" t="s">
        <v>230</v>
      </c>
      <c r="J240" s="156">
        <v>238.0</v>
      </c>
      <c r="K240" s="157" t="s">
        <v>885</v>
      </c>
      <c r="L240" s="158" t="s">
        <v>886</v>
      </c>
      <c r="M240" s="158"/>
      <c r="N240" s="158"/>
      <c r="O240" s="158"/>
      <c r="P240" s="158"/>
      <c r="Q240" s="158"/>
      <c r="R240" s="158"/>
      <c r="S240" s="158"/>
      <c r="T240" s="158"/>
    </row>
    <row r="241">
      <c r="A241" s="152"/>
      <c r="B241" s="153"/>
      <c r="C241" s="152"/>
      <c r="D241" s="152"/>
      <c r="E241" s="154">
        <v>2143.0</v>
      </c>
      <c r="F241" s="152"/>
      <c r="G241" s="155"/>
      <c r="H241" s="153" t="s">
        <v>887</v>
      </c>
      <c r="I241" s="153" t="s">
        <v>182</v>
      </c>
      <c r="J241" s="156">
        <v>239.0</v>
      </c>
      <c r="K241" s="157" t="s">
        <v>888</v>
      </c>
      <c r="L241" s="158" t="s">
        <v>889</v>
      </c>
      <c r="M241" s="158"/>
      <c r="N241" s="158"/>
      <c r="O241" s="158"/>
      <c r="P241" s="158"/>
      <c r="Q241" s="158"/>
      <c r="R241" s="158"/>
      <c r="S241" s="158"/>
      <c r="T241" s="158"/>
    </row>
    <row r="242">
      <c r="A242" s="152"/>
      <c r="B242" s="153"/>
      <c r="C242" s="152"/>
      <c r="D242" s="152"/>
      <c r="E242" s="154">
        <v>2144.0</v>
      </c>
      <c r="F242" s="152"/>
      <c r="G242" s="155"/>
      <c r="H242" s="153" t="s">
        <v>890</v>
      </c>
      <c r="I242" s="153" t="s">
        <v>401</v>
      </c>
      <c r="J242" s="156">
        <v>240.0</v>
      </c>
      <c r="K242" s="157" t="s">
        <v>891</v>
      </c>
      <c r="L242" s="158" t="s">
        <v>892</v>
      </c>
      <c r="M242" s="158"/>
      <c r="N242" s="158"/>
      <c r="O242" s="158"/>
      <c r="P242" s="158"/>
      <c r="Q242" s="158"/>
      <c r="R242" s="158"/>
      <c r="S242" s="158"/>
      <c r="T242" s="158"/>
    </row>
    <row r="243">
      <c r="A243" s="152"/>
      <c r="B243" s="153"/>
      <c r="C243" s="152"/>
      <c r="D243" s="152"/>
      <c r="E243" s="154">
        <v>2145.0</v>
      </c>
      <c r="F243" s="152"/>
      <c r="G243" s="155"/>
      <c r="H243" s="153" t="s">
        <v>893</v>
      </c>
      <c r="I243" s="153" t="s">
        <v>230</v>
      </c>
      <c r="J243" s="156">
        <v>241.0</v>
      </c>
      <c r="K243" s="157" t="s">
        <v>894</v>
      </c>
      <c r="L243" s="158" t="s">
        <v>895</v>
      </c>
      <c r="M243" s="158"/>
      <c r="N243" s="158"/>
      <c r="O243" s="158"/>
      <c r="P243" s="158"/>
      <c r="Q243" s="158"/>
      <c r="R243" s="158"/>
      <c r="S243" s="158"/>
      <c r="T243" s="158"/>
    </row>
    <row r="244">
      <c r="A244" s="152"/>
      <c r="B244" s="153"/>
      <c r="C244" s="152"/>
      <c r="D244" s="152"/>
      <c r="E244" s="154">
        <v>2146.0</v>
      </c>
      <c r="F244" s="152"/>
      <c r="G244" s="155"/>
      <c r="H244" s="153" t="s">
        <v>896</v>
      </c>
      <c r="I244" s="153" t="s">
        <v>230</v>
      </c>
      <c r="J244" s="156">
        <v>242.0</v>
      </c>
      <c r="K244" s="157" t="s">
        <v>897</v>
      </c>
      <c r="L244" s="158" t="s">
        <v>898</v>
      </c>
      <c r="M244" s="158"/>
      <c r="N244" s="158"/>
      <c r="O244" s="158"/>
      <c r="P244" s="158"/>
      <c r="Q244" s="158"/>
      <c r="R244" s="158"/>
      <c r="S244" s="158"/>
      <c r="T244" s="158"/>
    </row>
    <row r="245">
      <c r="A245" s="152"/>
      <c r="B245" s="153"/>
      <c r="C245" s="152"/>
      <c r="D245" s="152"/>
      <c r="E245" s="154">
        <v>2151.0</v>
      </c>
      <c r="F245" s="152"/>
      <c r="G245" s="155"/>
      <c r="H245" s="153" t="s">
        <v>899</v>
      </c>
      <c r="I245" s="153" t="s">
        <v>188</v>
      </c>
      <c r="J245" s="156">
        <v>243.0</v>
      </c>
      <c r="K245" s="157" t="s">
        <v>900</v>
      </c>
      <c r="L245" s="158" t="s">
        <v>901</v>
      </c>
      <c r="M245" s="158"/>
      <c r="N245" s="158"/>
      <c r="O245" s="158"/>
      <c r="P245" s="158"/>
      <c r="Q245" s="158"/>
      <c r="R245" s="158"/>
      <c r="S245" s="158"/>
      <c r="T245" s="158"/>
    </row>
    <row r="246">
      <c r="A246" s="152"/>
      <c r="B246" s="153"/>
      <c r="C246" s="152"/>
      <c r="D246" s="152"/>
      <c r="E246" s="154">
        <v>2152.0</v>
      </c>
      <c r="F246" s="152"/>
      <c r="G246" s="155"/>
      <c r="H246" s="153" t="s">
        <v>902</v>
      </c>
      <c r="I246" s="153" t="s">
        <v>188</v>
      </c>
      <c r="J246" s="156">
        <v>244.0</v>
      </c>
      <c r="K246" s="157" t="s">
        <v>903</v>
      </c>
      <c r="L246" s="158" t="s">
        <v>904</v>
      </c>
      <c r="M246" s="158"/>
      <c r="N246" s="158"/>
      <c r="O246" s="158"/>
      <c r="P246" s="158"/>
      <c r="Q246" s="158"/>
      <c r="R246" s="158"/>
      <c r="S246" s="158"/>
      <c r="T246" s="158"/>
    </row>
    <row r="247">
      <c r="A247" s="152"/>
      <c r="B247" s="153"/>
      <c r="C247" s="152"/>
      <c r="D247" s="152"/>
      <c r="E247" s="154">
        <v>2153.0</v>
      </c>
      <c r="F247" s="152"/>
      <c r="G247" s="155"/>
      <c r="H247" s="153" t="s">
        <v>905</v>
      </c>
      <c r="I247" s="153" t="s">
        <v>182</v>
      </c>
      <c r="J247" s="156">
        <v>245.0</v>
      </c>
      <c r="K247" s="157" t="s">
        <v>906</v>
      </c>
      <c r="L247" s="158" t="s">
        <v>907</v>
      </c>
      <c r="M247" s="158"/>
      <c r="N247" s="158"/>
      <c r="O247" s="158"/>
      <c r="P247" s="158"/>
      <c r="Q247" s="158"/>
      <c r="R247" s="158"/>
      <c r="S247" s="158"/>
      <c r="T247" s="158"/>
    </row>
    <row r="248">
      <c r="A248" s="152"/>
      <c r="B248" s="153"/>
      <c r="C248" s="152"/>
      <c r="D248" s="152"/>
      <c r="E248" s="154">
        <v>2154.0</v>
      </c>
      <c r="F248" s="152"/>
      <c r="G248" s="155"/>
      <c r="H248" s="153" t="s">
        <v>908</v>
      </c>
      <c r="I248" s="153" t="s">
        <v>182</v>
      </c>
      <c r="J248" s="156">
        <v>246.0</v>
      </c>
      <c r="K248" s="157" t="s">
        <v>909</v>
      </c>
      <c r="L248" s="158" t="s">
        <v>910</v>
      </c>
      <c r="M248" s="158"/>
      <c r="N248" s="158"/>
      <c r="O248" s="158"/>
      <c r="P248" s="158"/>
      <c r="Q248" s="158"/>
      <c r="R248" s="158"/>
      <c r="S248" s="158"/>
      <c r="T248" s="158"/>
    </row>
    <row r="249">
      <c r="A249" s="152"/>
      <c r="B249" s="153"/>
      <c r="C249" s="152"/>
      <c r="D249" s="152"/>
      <c r="E249" s="154">
        <v>2155.0</v>
      </c>
      <c r="F249" s="152"/>
      <c r="G249" s="155"/>
      <c r="H249" s="153" t="s">
        <v>911</v>
      </c>
      <c r="I249" s="153" t="s">
        <v>401</v>
      </c>
      <c r="J249" s="156">
        <v>247.0</v>
      </c>
      <c r="K249" s="157" t="s">
        <v>912</v>
      </c>
      <c r="L249" s="158" t="s">
        <v>913</v>
      </c>
      <c r="M249" s="158"/>
      <c r="N249" s="158"/>
      <c r="O249" s="158"/>
      <c r="P249" s="158"/>
      <c r="Q249" s="158"/>
      <c r="R249" s="158"/>
      <c r="S249" s="158"/>
      <c r="T249" s="158"/>
    </row>
    <row r="250">
      <c r="A250" s="152"/>
      <c r="B250" s="153"/>
      <c r="C250" s="152"/>
      <c r="D250" s="152"/>
      <c r="E250" s="154">
        <v>2156.0</v>
      </c>
      <c r="F250" s="152"/>
      <c r="G250" s="155"/>
      <c r="H250" s="153" t="s">
        <v>914</v>
      </c>
      <c r="I250" s="153" t="s">
        <v>167</v>
      </c>
      <c r="J250" s="156">
        <v>248.0</v>
      </c>
      <c r="K250" s="157" t="s">
        <v>915</v>
      </c>
      <c r="L250" s="158" t="s">
        <v>916</v>
      </c>
      <c r="M250" s="158"/>
      <c r="N250" s="158"/>
      <c r="O250" s="158"/>
      <c r="P250" s="158"/>
      <c r="Q250" s="158"/>
      <c r="R250" s="158"/>
      <c r="S250" s="158"/>
      <c r="T250" s="158"/>
    </row>
    <row r="251">
      <c r="A251" s="152"/>
      <c r="B251" s="153"/>
      <c r="C251" s="152"/>
      <c r="D251" s="152"/>
      <c r="E251" s="154">
        <v>2161.0</v>
      </c>
      <c r="F251" s="152"/>
      <c r="G251" s="155"/>
      <c r="H251" s="153" t="s">
        <v>917</v>
      </c>
      <c r="I251" s="153" t="s">
        <v>246</v>
      </c>
      <c r="J251" s="156">
        <v>249.0</v>
      </c>
      <c r="K251" s="157" t="s">
        <v>918</v>
      </c>
      <c r="L251" s="158" t="s">
        <v>919</v>
      </c>
      <c r="M251" s="158"/>
      <c r="N251" s="158"/>
      <c r="O251" s="158"/>
      <c r="P251" s="158"/>
      <c r="Q251" s="158"/>
      <c r="R251" s="158"/>
      <c r="S251" s="158"/>
      <c r="T251" s="158"/>
    </row>
    <row r="252">
      <c r="A252" s="152"/>
      <c r="B252" s="153"/>
      <c r="C252" s="152"/>
      <c r="D252" s="152"/>
      <c r="E252" s="154">
        <v>2162.0</v>
      </c>
      <c r="F252" s="152"/>
      <c r="G252" s="155"/>
      <c r="H252" s="153" t="s">
        <v>920</v>
      </c>
      <c r="I252" s="153" t="s">
        <v>167</v>
      </c>
      <c r="J252" s="156">
        <v>250.0</v>
      </c>
      <c r="K252" s="157" t="s">
        <v>921</v>
      </c>
      <c r="L252" s="158" t="s">
        <v>922</v>
      </c>
      <c r="M252" s="158"/>
      <c r="N252" s="158"/>
      <c r="O252" s="158"/>
      <c r="P252" s="158"/>
      <c r="Q252" s="158"/>
      <c r="R252" s="158"/>
      <c r="S252" s="158"/>
      <c r="T252" s="158"/>
    </row>
    <row r="253">
      <c r="A253" s="152"/>
      <c r="B253" s="153"/>
      <c r="C253" s="152"/>
      <c r="D253" s="152"/>
      <c r="E253" s="154">
        <v>2163.0</v>
      </c>
      <c r="F253" s="152"/>
      <c r="G253" s="155"/>
      <c r="H253" s="153" t="s">
        <v>923</v>
      </c>
      <c r="I253" s="153" t="s">
        <v>230</v>
      </c>
      <c r="J253" s="156">
        <v>251.0</v>
      </c>
      <c r="K253" s="157" t="s">
        <v>924</v>
      </c>
      <c r="L253" s="158" t="s">
        <v>925</v>
      </c>
      <c r="M253" s="158"/>
      <c r="N253" s="158"/>
      <c r="O253" s="158"/>
      <c r="P253" s="158"/>
      <c r="Q253" s="158"/>
      <c r="R253" s="158"/>
      <c r="S253" s="158"/>
      <c r="T253" s="158"/>
    </row>
    <row r="254">
      <c r="A254" s="152"/>
      <c r="B254" s="153"/>
      <c r="C254" s="152"/>
      <c r="D254" s="152"/>
      <c r="E254" s="154">
        <v>2164.0</v>
      </c>
      <c r="F254" s="152"/>
      <c r="G254" s="155"/>
      <c r="H254" s="153" t="s">
        <v>926</v>
      </c>
      <c r="I254" s="153" t="s">
        <v>246</v>
      </c>
      <c r="J254" s="156">
        <v>252.0</v>
      </c>
      <c r="K254" s="157" t="s">
        <v>927</v>
      </c>
      <c r="L254" s="158" t="s">
        <v>928</v>
      </c>
      <c r="M254" s="158"/>
      <c r="N254" s="158"/>
      <c r="O254" s="158"/>
      <c r="P254" s="158"/>
      <c r="Q254" s="158"/>
      <c r="R254" s="158"/>
      <c r="S254" s="158"/>
      <c r="T254" s="158"/>
    </row>
    <row r="255">
      <c r="A255" s="152"/>
      <c r="B255" s="153"/>
      <c r="C255" s="152"/>
      <c r="D255" s="152"/>
      <c r="E255" s="154">
        <v>2165.0</v>
      </c>
      <c r="F255" s="152"/>
      <c r="G255" s="155"/>
      <c r="H255" s="153" t="s">
        <v>929</v>
      </c>
      <c r="I255" s="153" t="s">
        <v>246</v>
      </c>
      <c r="J255" s="156">
        <v>253.0</v>
      </c>
      <c r="K255" s="157" t="s">
        <v>930</v>
      </c>
      <c r="L255" s="158" t="s">
        <v>931</v>
      </c>
      <c r="M255" s="158"/>
      <c r="N255" s="158"/>
      <c r="O255" s="158"/>
      <c r="P255" s="158"/>
      <c r="Q255" s="158"/>
      <c r="R255" s="158"/>
      <c r="S255" s="158"/>
      <c r="T255" s="158"/>
    </row>
    <row r="256">
      <c r="A256" s="152"/>
      <c r="B256" s="153"/>
      <c r="C256" s="152"/>
      <c r="D256" s="152"/>
      <c r="E256" s="154">
        <v>2166.0</v>
      </c>
      <c r="F256" s="152"/>
      <c r="G256" s="155"/>
      <c r="H256" s="153" t="s">
        <v>932</v>
      </c>
      <c r="I256" s="153" t="s">
        <v>434</v>
      </c>
      <c r="J256" s="156">
        <v>254.0</v>
      </c>
      <c r="K256" s="157" t="s">
        <v>933</v>
      </c>
      <c r="L256" s="158" t="s">
        <v>934</v>
      </c>
      <c r="M256" s="158"/>
      <c r="N256" s="158"/>
      <c r="O256" s="158"/>
      <c r="P256" s="158"/>
      <c r="Q256" s="158"/>
      <c r="R256" s="158"/>
      <c r="S256" s="158"/>
      <c r="T256" s="158"/>
    </row>
    <row r="257">
      <c r="A257" s="152"/>
      <c r="B257" s="153"/>
      <c r="C257" s="152"/>
      <c r="D257" s="152"/>
      <c r="E257" s="154">
        <v>2211.0</v>
      </c>
      <c r="F257" s="152"/>
      <c r="G257" s="155"/>
      <c r="H257" s="153" t="s">
        <v>935</v>
      </c>
      <c r="I257" s="153" t="s">
        <v>246</v>
      </c>
      <c r="J257" s="156">
        <v>255.0</v>
      </c>
      <c r="K257" s="157" t="s">
        <v>936</v>
      </c>
      <c r="L257" s="158" t="s">
        <v>937</v>
      </c>
      <c r="M257" s="158"/>
      <c r="N257" s="158"/>
      <c r="O257" s="158"/>
      <c r="P257" s="158"/>
      <c r="Q257" s="158"/>
      <c r="R257" s="158"/>
      <c r="S257" s="158"/>
      <c r="T257" s="158"/>
    </row>
    <row r="258">
      <c r="A258" s="152"/>
      <c r="B258" s="153"/>
      <c r="C258" s="152"/>
      <c r="D258" s="152"/>
      <c r="E258" s="154">
        <v>2212.0</v>
      </c>
      <c r="F258" s="152"/>
      <c r="G258" s="155"/>
      <c r="H258" s="153" t="s">
        <v>938</v>
      </c>
      <c r="I258" s="153" t="s">
        <v>167</v>
      </c>
      <c r="J258" s="156">
        <v>256.0</v>
      </c>
      <c r="K258" s="157" t="s">
        <v>939</v>
      </c>
      <c r="L258" s="158" t="s">
        <v>940</v>
      </c>
      <c r="M258" s="158"/>
      <c r="N258" s="158"/>
      <c r="O258" s="158"/>
      <c r="P258" s="158"/>
      <c r="Q258" s="158"/>
      <c r="R258" s="158"/>
      <c r="S258" s="158"/>
      <c r="T258" s="158"/>
    </row>
    <row r="259">
      <c r="A259" s="152"/>
      <c r="B259" s="153"/>
      <c r="C259" s="152"/>
      <c r="D259" s="152"/>
      <c r="E259" s="154">
        <v>2213.0</v>
      </c>
      <c r="F259" s="152"/>
      <c r="G259" s="155"/>
      <c r="H259" s="153" t="s">
        <v>941</v>
      </c>
      <c r="I259" s="153" t="s">
        <v>188</v>
      </c>
      <c r="J259" s="156">
        <v>257.0</v>
      </c>
      <c r="K259" s="157" t="s">
        <v>942</v>
      </c>
      <c r="L259" s="158" t="s">
        <v>943</v>
      </c>
      <c r="M259" s="158"/>
      <c r="N259" s="158"/>
      <c r="O259" s="158"/>
      <c r="P259" s="158"/>
      <c r="Q259" s="158"/>
      <c r="R259" s="158"/>
      <c r="S259" s="158"/>
      <c r="T259" s="158"/>
    </row>
    <row r="260">
      <c r="A260" s="152"/>
      <c r="B260" s="153"/>
      <c r="C260" s="152"/>
      <c r="D260" s="152"/>
      <c r="E260" s="154">
        <v>2214.0</v>
      </c>
      <c r="F260" s="152"/>
      <c r="G260" s="155"/>
      <c r="H260" s="153" t="s">
        <v>944</v>
      </c>
      <c r="I260" s="153" t="s">
        <v>434</v>
      </c>
      <c r="J260" s="156">
        <v>258.0</v>
      </c>
      <c r="K260" s="157" t="s">
        <v>945</v>
      </c>
      <c r="L260" s="158" t="s">
        <v>946</v>
      </c>
      <c r="M260" s="158"/>
      <c r="N260" s="158"/>
      <c r="O260" s="158"/>
      <c r="P260" s="158"/>
      <c r="Q260" s="158"/>
      <c r="R260" s="158"/>
      <c r="S260" s="158"/>
      <c r="T260" s="158"/>
    </row>
    <row r="261">
      <c r="A261" s="152"/>
      <c r="B261" s="153"/>
      <c r="C261" s="152"/>
      <c r="D261" s="152"/>
      <c r="E261" s="154">
        <v>2215.0</v>
      </c>
      <c r="F261" s="152"/>
      <c r="G261" s="155"/>
      <c r="H261" s="153" t="s">
        <v>55</v>
      </c>
      <c r="I261" s="153" t="s">
        <v>434</v>
      </c>
      <c r="J261" s="156">
        <v>259.0</v>
      </c>
      <c r="K261" s="157" t="s">
        <v>947</v>
      </c>
      <c r="L261" s="158" t="s">
        <v>948</v>
      </c>
      <c r="M261" s="158"/>
      <c r="N261" s="158"/>
      <c r="O261" s="158"/>
      <c r="P261" s="158"/>
      <c r="Q261" s="158"/>
      <c r="R261" s="158"/>
      <c r="S261" s="158"/>
      <c r="T261" s="158"/>
    </row>
    <row r="262">
      <c r="A262" s="152"/>
      <c r="B262" s="153"/>
      <c r="C262" s="152"/>
      <c r="D262" s="152"/>
      <c r="E262" s="154">
        <v>2216.0</v>
      </c>
      <c r="F262" s="152"/>
      <c r="G262" s="155"/>
      <c r="H262" s="153" t="s">
        <v>949</v>
      </c>
      <c r="I262" s="153" t="s">
        <v>167</v>
      </c>
      <c r="J262" s="156">
        <v>260.0</v>
      </c>
      <c r="K262" s="157" t="s">
        <v>950</v>
      </c>
      <c r="L262" s="158" t="s">
        <v>951</v>
      </c>
      <c r="M262" s="158"/>
      <c r="N262" s="158"/>
      <c r="O262" s="158"/>
      <c r="P262" s="158"/>
      <c r="Q262" s="158"/>
      <c r="R262" s="158"/>
      <c r="S262" s="158"/>
      <c r="T262" s="158"/>
    </row>
    <row r="263">
      <c r="A263" s="152"/>
      <c r="B263" s="153"/>
      <c r="C263" s="152"/>
      <c r="D263" s="152"/>
      <c r="E263" s="154">
        <v>2221.0</v>
      </c>
      <c r="F263" s="152"/>
      <c r="G263" s="155"/>
      <c r="H263" s="153" t="s">
        <v>952</v>
      </c>
      <c r="I263" s="153" t="s">
        <v>246</v>
      </c>
      <c r="J263" s="156">
        <v>261.0</v>
      </c>
      <c r="K263" s="157" t="s">
        <v>953</v>
      </c>
      <c r="L263" s="158" t="s">
        <v>954</v>
      </c>
      <c r="M263" s="158"/>
      <c r="N263" s="158"/>
      <c r="O263" s="158"/>
      <c r="P263" s="158"/>
      <c r="Q263" s="158"/>
      <c r="R263" s="158"/>
      <c r="S263" s="158"/>
      <c r="T263" s="158"/>
    </row>
    <row r="264">
      <c r="A264" s="152"/>
      <c r="B264" s="153"/>
      <c r="C264" s="152"/>
      <c r="D264" s="152"/>
      <c r="E264" s="154">
        <v>2222.0</v>
      </c>
      <c r="F264" s="152"/>
      <c r="G264" s="155"/>
      <c r="H264" s="153" t="s">
        <v>955</v>
      </c>
      <c r="I264" s="153" t="s">
        <v>230</v>
      </c>
      <c r="J264" s="156">
        <v>262.0</v>
      </c>
      <c r="K264" s="157" t="s">
        <v>956</v>
      </c>
      <c r="L264" s="158" t="s">
        <v>957</v>
      </c>
      <c r="M264" s="158"/>
      <c r="N264" s="158"/>
      <c r="O264" s="158"/>
      <c r="P264" s="158"/>
      <c r="Q264" s="158"/>
      <c r="R264" s="158"/>
      <c r="S264" s="158"/>
      <c r="T264" s="158"/>
    </row>
    <row r="265">
      <c r="A265" s="152"/>
      <c r="B265" s="153"/>
      <c r="C265" s="152"/>
      <c r="D265" s="152"/>
      <c r="E265" s="154">
        <v>2223.0</v>
      </c>
      <c r="F265" s="152"/>
      <c r="G265" s="155"/>
      <c r="H265" s="153" t="s">
        <v>958</v>
      </c>
      <c r="I265" s="153" t="s">
        <v>246</v>
      </c>
      <c r="J265" s="156">
        <v>263.0</v>
      </c>
      <c r="K265" s="157" t="s">
        <v>959</v>
      </c>
      <c r="L265" s="158" t="s">
        <v>960</v>
      </c>
      <c r="M265" s="158"/>
      <c r="N265" s="158"/>
      <c r="O265" s="158"/>
      <c r="P265" s="158"/>
      <c r="Q265" s="158"/>
      <c r="R265" s="158"/>
      <c r="S265" s="158"/>
      <c r="T265" s="158"/>
    </row>
    <row r="266">
      <c r="A266" s="152"/>
      <c r="B266" s="153"/>
      <c r="C266" s="152"/>
      <c r="D266" s="152"/>
      <c r="E266" s="154">
        <v>2224.0</v>
      </c>
      <c r="F266" s="152"/>
      <c r="G266" s="155"/>
      <c r="H266" s="153" t="s">
        <v>961</v>
      </c>
      <c r="I266" s="153" t="s">
        <v>434</v>
      </c>
      <c r="J266" s="156">
        <v>264.0</v>
      </c>
      <c r="K266" s="157" t="s">
        <v>962</v>
      </c>
      <c r="L266" s="158" t="s">
        <v>963</v>
      </c>
      <c r="M266" s="158"/>
      <c r="N266" s="158"/>
      <c r="O266" s="158"/>
      <c r="P266" s="158"/>
      <c r="Q266" s="158"/>
      <c r="R266" s="158"/>
      <c r="S266" s="158"/>
      <c r="T266" s="158"/>
    </row>
    <row r="267">
      <c r="A267" s="152"/>
      <c r="B267" s="153"/>
      <c r="C267" s="152"/>
      <c r="D267" s="152"/>
      <c r="E267" s="154">
        <v>2225.0</v>
      </c>
      <c r="F267" s="152"/>
      <c r="G267" s="155"/>
      <c r="H267" s="153" t="s">
        <v>964</v>
      </c>
      <c r="I267" s="153" t="s">
        <v>188</v>
      </c>
      <c r="J267" s="156">
        <v>265.0</v>
      </c>
      <c r="K267" s="157" t="s">
        <v>965</v>
      </c>
      <c r="L267" s="158" t="s">
        <v>966</v>
      </c>
      <c r="M267" s="158"/>
      <c r="N267" s="158"/>
      <c r="O267" s="158"/>
      <c r="P267" s="158"/>
      <c r="Q267" s="158"/>
      <c r="R267" s="158"/>
      <c r="S267" s="158"/>
      <c r="T267" s="158"/>
    </row>
    <row r="268">
      <c r="A268" s="152"/>
      <c r="B268" s="153"/>
      <c r="C268" s="152"/>
      <c r="D268" s="152"/>
      <c r="E268" s="154">
        <v>2226.0</v>
      </c>
      <c r="F268" s="152"/>
      <c r="G268" s="155"/>
      <c r="H268" s="153" t="s">
        <v>967</v>
      </c>
      <c r="I268" s="153" t="s">
        <v>246</v>
      </c>
      <c r="J268" s="156">
        <v>266.0</v>
      </c>
      <c r="K268" s="157" t="s">
        <v>968</v>
      </c>
      <c r="L268" s="158" t="s">
        <v>969</v>
      </c>
      <c r="M268" s="158"/>
      <c r="N268" s="158"/>
      <c r="O268" s="158"/>
      <c r="P268" s="158"/>
      <c r="Q268" s="158"/>
      <c r="R268" s="158"/>
      <c r="S268" s="158"/>
      <c r="T268" s="158"/>
    </row>
    <row r="269">
      <c r="A269" s="152"/>
      <c r="B269" s="153"/>
      <c r="C269" s="152"/>
      <c r="D269" s="152"/>
      <c r="E269" s="154">
        <v>2231.0</v>
      </c>
      <c r="F269" s="152"/>
      <c r="G269" s="155"/>
      <c r="H269" s="153" t="s">
        <v>970</v>
      </c>
      <c r="I269" s="153" t="s">
        <v>434</v>
      </c>
      <c r="J269" s="156">
        <v>267.0</v>
      </c>
      <c r="K269" s="157" t="s">
        <v>971</v>
      </c>
      <c r="L269" s="158" t="s">
        <v>972</v>
      </c>
      <c r="M269" s="158"/>
      <c r="N269" s="158"/>
      <c r="O269" s="158"/>
      <c r="P269" s="158"/>
      <c r="Q269" s="158"/>
      <c r="R269" s="158"/>
      <c r="S269" s="158"/>
      <c r="T269" s="158"/>
    </row>
    <row r="270">
      <c r="A270" s="152"/>
      <c r="B270" s="153"/>
      <c r="C270" s="152"/>
      <c r="D270" s="152"/>
      <c r="E270" s="154">
        <v>2232.0</v>
      </c>
      <c r="F270" s="152"/>
      <c r="G270" s="155"/>
      <c r="H270" s="153" t="s">
        <v>973</v>
      </c>
      <c r="I270" s="153" t="s">
        <v>246</v>
      </c>
      <c r="J270" s="156">
        <v>268.0</v>
      </c>
      <c r="K270" s="157" t="s">
        <v>974</v>
      </c>
      <c r="L270" s="158" t="s">
        <v>975</v>
      </c>
      <c r="M270" s="158"/>
      <c r="N270" s="158"/>
      <c r="O270" s="158"/>
      <c r="P270" s="158"/>
      <c r="Q270" s="158"/>
      <c r="R270" s="158"/>
      <c r="S270" s="158"/>
      <c r="T270" s="158"/>
    </row>
    <row r="271">
      <c r="A271" s="152"/>
      <c r="B271" s="153"/>
      <c r="C271" s="152"/>
      <c r="D271" s="152"/>
      <c r="E271" s="154">
        <v>2233.0</v>
      </c>
      <c r="F271" s="152"/>
      <c r="G271" s="155"/>
      <c r="H271" s="153" t="s">
        <v>976</v>
      </c>
      <c r="I271" s="153" t="s">
        <v>230</v>
      </c>
      <c r="J271" s="156">
        <v>269.0</v>
      </c>
      <c r="K271" s="157" t="s">
        <v>977</v>
      </c>
      <c r="L271" s="158" t="s">
        <v>978</v>
      </c>
      <c r="M271" s="158"/>
      <c r="N271" s="158"/>
      <c r="O271" s="158"/>
      <c r="P271" s="158"/>
      <c r="Q271" s="158"/>
      <c r="R271" s="158"/>
      <c r="S271" s="158"/>
      <c r="T271" s="158"/>
    </row>
    <row r="272">
      <c r="A272" s="152"/>
      <c r="B272" s="153"/>
      <c r="C272" s="152"/>
      <c r="D272" s="152"/>
      <c r="E272" s="154">
        <v>2234.0</v>
      </c>
      <c r="F272" s="152"/>
      <c r="G272" s="155"/>
      <c r="H272" s="153" t="s">
        <v>979</v>
      </c>
      <c r="I272" s="153" t="s">
        <v>167</v>
      </c>
      <c r="J272" s="156">
        <v>270.0</v>
      </c>
      <c r="K272" s="157" t="s">
        <v>980</v>
      </c>
      <c r="L272" s="158" t="s">
        <v>981</v>
      </c>
      <c r="M272" s="158"/>
      <c r="N272" s="158"/>
      <c r="O272" s="158"/>
      <c r="P272" s="158"/>
      <c r="Q272" s="158"/>
      <c r="R272" s="158"/>
      <c r="S272" s="158"/>
      <c r="T272" s="158"/>
    </row>
    <row r="273">
      <c r="A273" s="152"/>
      <c r="B273" s="153"/>
      <c r="C273" s="152"/>
      <c r="D273" s="152"/>
      <c r="E273" s="154">
        <v>2235.0</v>
      </c>
      <c r="F273" s="152"/>
      <c r="G273" s="155"/>
      <c r="H273" s="153" t="s">
        <v>982</v>
      </c>
      <c r="I273" s="153" t="s">
        <v>230</v>
      </c>
      <c r="J273" s="156">
        <v>271.0</v>
      </c>
      <c r="K273" s="157" t="s">
        <v>983</v>
      </c>
      <c r="L273" s="158" t="s">
        <v>984</v>
      </c>
      <c r="M273" s="158"/>
      <c r="N273" s="158"/>
      <c r="O273" s="158"/>
      <c r="P273" s="158"/>
      <c r="Q273" s="158"/>
      <c r="R273" s="158"/>
      <c r="S273" s="158"/>
      <c r="T273" s="158"/>
    </row>
    <row r="274">
      <c r="A274" s="152"/>
      <c r="B274" s="153"/>
      <c r="C274" s="152"/>
      <c r="D274" s="152"/>
      <c r="E274" s="154">
        <v>2236.0</v>
      </c>
      <c r="F274" s="152"/>
      <c r="G274" s="155"/>
      <c r="H274" s="153" t="s">
        <v>985</v>
      </c>
      <c r="I274" s="153" t="s">
        <v>246</v>
      </c>
      <c r="J274" s="156">
        <v>272.0</v>
      </c>
      <c r="K274" s="157" t="s">
        <v>986</v>
      </c>
      <c r="L274" s="158" t="s">
        <v>987</v>
      </c>
      <c r="M274" s="158"/>
      <c r="N274" s="158"/>
      <c r="O274" s="158"/>
      <c r="P274" s="158"/>
      <c r="Q274" s="158"/>
      <c r="R274" s="158"/>
      <c r="S274" s="158"/>
      <c r="T274" s="158"/>
    </row>
    <row r="275">
      <c r="A275" s="152"/>
      <c r="B275" s="153"/>
      <c r="C275" s="152"/>
      <c r="D275" s="152"/>
      <c r="E275" s="154">
        <v>2241.0</v>
      </c>
      <c r="F275" s="152"/>
      <c r="G275" s="155"/>
      <c r="H275" s="153" t="s">
        <v>988</v>
      </c>
      <c r="I275" s="153" t="s">
        <v>434</v>
      </c>
      <c r="J275" s="156">
        <v>273.0</v>
      </c>
      <c r="K275" s="157" t="s">
        <v>989</v>
      </c>
      <c r="L275" s="158" t="s">
        <v>990</v>
      </c>
      <c r="M275" s="158"/>
      <c r="N275" s="158"/>
      <c r="O275" s="158"/>
      <c r="P275" s="158"/>
      <c r="Q275" s="158"/>
      <c r="R275" s="158"/>
      <c r="S275" s="158"/>
      <c r="T275" s="158"/>
    </row>
    <row r="276">
      <c r="A276" s="152"/>
      <c r="B276" s="153"/>
      <c r="C276" s="152"/>
      <c r="D276" s="152"/>
      <c r="E276" s="154">
        <v>2242.0</v>
      </c>
      <c r="F276" s="152"/>
      <c r="G276" s="155"/>
      <c r="H276" s="153" t="s">
        <v>991</v>
      </c>
      <c r="I276" s="153" t="s">
        <v>230</v>
      </c>
      <c r="J276" s="156">
        <v>274.0</v>
      </c>
      <c r="K276" s="157" t="s">
        <v>992</v>
      </c>
      <c r="L276" s="158" t="s">
        <v>993</v>
      </c>
      <c r="M276" s="158"/>
      <c r="N276" s="158"/>
      <c r="O276" s="158"/>
      <c r="P276" s="158"/>
      <c r="Q276" s="158"/>
      <c r="R276" s="158"/>
      <c r="S276" s="158"/>
      <c r="T276" s="158"/>
    </row>
    <row r="277">
      <c r="A277" s="152"/>
      <c r="B277" s="153"/>
      <c r="C277" s="152"/>
      <c r="D277" s="152"/>
      <c r="E277" s="154">
        <v>2243.0</v>
      </c>
      <c r="F277" s="152"/>
      <c r="G277" s="155"/>
      <c r="H277" s="153" t="s">
        <v>994</v>
      </c>
      <c r="I277" s="153" t="s">
        <v>434</v>
      </c>
      <c r="J277" s="156">
        <v>275.0</v>
      </c>
      <c r="K277" s="157" t="s">
        <v>995</v>
      </c>
      <c r="L277" s="158" t="s">
        <v>996</v>
      </c>
      <c r="M277" s="158"/>
      <c r="N277" s="158"/>
      <c r="O277" s="158"/>
      <c r="P277" s="158"/>
      <c r="Q277" s="158"/>
      <c r="R277" s="158"/>
      <c r="S277" s="158"/>
      <c r="T277" s="158"/>
    </row>
    <row r="278">
      <c r="A278" s="152"/>
      <c r="B278" s="153"/>
      <c r="C278" s="152"/>
      <c r="D278" s="152"/>
      <c r="E278" s="154">
        <v>2244.0</v>
      </c>
      <c r="F278" s="152"/>
      <c r="G278" s="155"/>
      <c r="H278" s="153" t="s">
        <v>997</v>
      </c>
      <c r="I278" s="153" t="s">
        <v>246</v>
      </c>
      <c r="J278" s="156">
        <v>276.0</v>
      </c>
      <c r="K278" s="157" t="s">
        <v>998</v>
      </c>
      <c r="L278" s="158" t="s">
        <v>999</v>
      </c>
      <c r="M278" s="158"/>
      <c r="N278" s="158"/>
      <c r="O278" s="158"/>
      <c r="P278" s="158"/>
      <c r="Q278" s="158"/>
      <c r="R278" s="158"/>
      <c r="S278" s="158"/>
      <c r="T278" s="158"/>
    </row>
    <row r="279">
      <c r="A279" s="152"/>
      <c r="B279" s="153"/>
      <c r="C279" s="152"/>
      <c r="D279" s="152"/>
      <c r="E279" s="154">
        <v>2245.0</v>
      </c>
      <c r="F279" s="152"/>
      <c r="G279" s="155"/>
      <c r="H279" s="153" t="s">
        <v>1000</v>
      </c>
      <c r="I279" s="153" t="s">
        <v>631</v>
      </c>
      <c r="J279" s="156">
        <v>277.0</v>
      </c>
      <c r="K279" s="157" t="s">
        <v>1001</v>
      </c>
      <c r="L279" s="158" t="s">
        <v>1002</v>
      </c>
      <c r="M279" s="158"/>
      <c r="N279" s="158"/>
      <c r="O279" s="158"/>
      <c r="P279" s="158"/>
      <c r="Q279" s="158"/>
      <c r="R279" s="158"/>
      <c r="S279" s="158"/>
      <c r="T279" s="158"/>
    </row>
    <row r="280">
      <c r="A280" s="152"/>
      <c r="B280" s="153"/>
      <c r="C280" s="152"/>
      <c r="D280" s="152"/>
      <c r="E280" s="154">
        <v>2246.0</v>
      </c>
      <c r="F280" s="152"/>
      <c r="G280" s="155"/>
      <c r="H280" s="153" t="s">
        <v>1003</v>
      </c>
      <c r="I280" s="153" t="s">
        <v>156</v>
      </c>
      <c r="J280" s="156">
        <v>278.0</v>
      </c>
      <c r="K280" s="157" t="s">
        <v>1004</v>
      </c>
      <c r="L280" s="158" t="s">
        <v>1005</v>
      </c>
      <c r="M280" s="158"/>
      <c r="N280" s="158"/>
      <c r="O280" s="158"/>
      <c r="P280" s="158"/>
      <c r="Q280" s="158"/>
      <c r="R280" s="158"/>
      <c r="S280" s="158"/>
      <c r="T280" s="158"/>
    </row>
    <row r="281">
      <c r="A281" s="152"/>
      <c r="B281" s="153"/>
      <c r="C281" s="152"/>
      <c r="D281" s="152"/>
      <c r="E281" s="154">
        <v>2251.0</v>
      </c>
      <c r="F281" s="152"/>
      <c r="G281" s="155"/>
      <c r="H281" s="153" t="s">
        <v>1006</v>
      </c>
      <c r="I281" s="153" t="s">
        <v>156</v>
      </c>
      <c r="J281" s="156">
        <v>279.0</v>
      </c>
      <c r="K281" s="157" t="s">
        <v>1007</v>
      </c>
      <c r="L281" s="158" t="s">
        <v>1008</v>
      </c>
      <c r="M281" s="158"/>
      <c r="N281" s="158"/>
      <c r="O281" s="158"/>
      <c r="P281" s="158"/>
      <c r="Q281" s="158"/>
      <c r="R281" s="158"/>
      <c r="S281" s="158"/>
      <c r="T281" s="158"/>
    </row>
    <row r="282">
      <c r="A282" s="152"/>
      <c r="B282" s="153"/>
      <c r="C282" s="152"/>
      <c r="D282" s="152"/>
      <c r="E282" s="154">
        <v>2252.0</v>
      </c>
      <c r="F282" s="152"/>
      <c r="G282" s="155"/>
      <c r="H282" s="153" t="s">
        <v>1009</v>
      </c>
      <c r="I282" s="153" t="s">
        <v>156</v>
      </c>
      <c r="J282" s="156">
        <v>280.0</v>
      </c>
      <c r="K282" s="157" t="s">
        <v>1010</v>
      </c>
      <c r="L282" s="158" t="s">
        <v>1011</v>
      </c>
      <c r="M282" s="158"/>
      <c r="N282" s="158"/>
      <c r="O282" s="158"/>
      <c r="P282" s="158"/>
      <c r="Q282" s="158"/>
      <c r="R282" s="158"/>
      <c r="S282" s="158"/>
      <c r="T282" s="158"/>
    </row>
    <row r="283">
      <c r="A283" s="152"/>
      <c r="B283" s="153"/>
      <c r="C283" s="152"/>
      <c r="D283" s="152"/>
      <c r="E283" s="154">
        <v>2253.0</v>
      </c>
      <c r="F283" s="152"/>
      <c r="G283" s="155"/>
      <c r="H283" s="153" t="s">
        <v>1012</v>
      </c>
      <c r="I283" s="153" t="s">
        <v>401</v>
      </c>
      <c r="J283" s="156">
        <v>281.0</v>
      </c>
      <c r="K283" s="157" t="s">
        <v>1013</v>
      </c>
      <c r="L283" s="158" t="s">
        <v>1014</v>
      </c>
      <c r="M283" s="158"/>
      <c r="N283" s="158"/>
      <c r="O283" s="158"/>
      <c r="P283" s="158"/>
      <c r="Q283" s="158"/>
      <c r="R283" s="158"/>
      <c r="S283" s="158"/>
      <c r="T283" s="158"/>
    </row>
    <row r="284">
      <c r="A284" s="152"/>
      <c r="B284" s="153"/>
      <c r="C284" s="152"/>
      <c r="D284" s="152"/>
      <c r="E284" s="154">
        <v>2254.0</v>
      </c>
      <c r="F284" s="152"/>
      <c r="G284" s="155"/>
      <c r="H284" s="153" t="s">
        <v>1015</v>
      </c>
      <c r="I284" s="153" t="s">
        <v>1016</v>
      </c>
      <c r="J284" s="156">
        <v>282.0</v>
      </c>
      <c r="K284" s="157" t="s">
        <v>1017</v>
      </c>
      <c r="L284" s="158" t="s">
        <v>1018</v>
      </c>
      <c r="M284" s="158"/>
      <c r="N284" s="158"/>
      <c r="O284" s="158"/>
      <c r="P284" s="158"/>
      <c r="Q284" s="158"/>
      <c r="R284" s="158"/>
      <c r="S284" s="158"/>
      <c r="T284" s="158"/>
    </row>
    <row r="285">
      <c r="A285" s="152"/>
      <c r="B285" s="153"/>
      <c r="C285" s="152"/>
      <c r="D285" s="152"/>
      <c r="E285" s="154">
        <v>2255.0</v>
      </c>
      <c r="F285" s="152"/>
      <c r="G285" s="155"/>
      <c r="H285" s="153" t="s">
        <v>1019</v>
      </c>
      <c r="I285" s="153" t="s">
        <v>182</v>
      </c>
      <c r="J285" s="156">
        <v>283.0</v>
      </c>
      <c r="K285" s="157" t="s">
        <v>1020</v>
      </c>
      <c r="L285" s="158" t="s">
        <v>1021</v>
      </c>
      <c r="M285" s="158"/>
      <c r="N285" s="158"/>
      <c r="O285" s="158"/>
      <c r="P285" s="158"/>
      <c r="Q285" s="158"/>
      <c r="R285" s="158"/>
      <c r="S285" s="158"/>
      <c r="T285" s="158"/>
    </row>
    <row r="286">
      <c r="A286" s="152"/>
      <c r="B286" s="153"/>
      <c r="C286" s="152"/>
      <c r="D286" s="152"/>
      <c r="E286" s="154">
        <v>2256.0</v>
      </c>
      <c r="F286" s="152"/>
      <c r="G286" s="155"/>
      <c r="H286" s="153" t="s">
        <v>1022</v>
      </c>
      <c r="I286" s="153" t="s">
        <v>182</v>
      </c>
      <c r="J286" s="156">
        <v>284.0</v>
      </c>
      <c r="K286" s="157" t="s">
        <v>1023</v>
      </c>
      <c r="L286" s="158" t="s">
        <v>1024</v>
      </c>
      <c r="M286" s="158"/>
      <c r="N286" s="158"/>
      <c r="O286" s="158"/>
      <c r="P286" s="158"/>
      <c r="Q286" s="158"/>
      <c r="R286" s="158"/>
      <c r="S286" s="158"/>
      <c r="T286" s="158"/>
    </row>
    <row r="287">
      <c r="A287" s="152"/>
      <c r="B287" s="153"/>
      <c r="C287" s="152"/>
      <c r="D287" s="152"/>
      <c r="E287" s="154">
        <v>2261.0</v>
      </c>
      <c r="F287" s="152"/>
      <c r="G287" s="155"/>
      <c r="H287" s="153" t="s">
        <v>1025</v>
      </c>
      <c r="I287" s="153" t="s">
        <v>182</v>
      </c>
      <c r="J287" s="156">
        <v>285.0</v>
      </c>
      <c r="K287" s="157" t="s">
        <v>1026</v>
      </c>
      <c r="L287" s="158" t="s">
        <v>1027</v>
      </c>
      <c r="M287" s="158"/>
      <c r="N287" s="158"/>
      <c r="O287" s="158"/>
      <c r="P287" s="158"/>
      <c r="Q287" s="158"/>
      <c r="R287" s="158"/>
      <c r="S287" s="158"/>
      <c r="T287" s="158"/>
    </row>
    <row r="288">
      <c r="A288" s="152"/>
      <c r="B288" s="153"/>
      <c r="C288" s="152"/>
      <c r="D288" s="152"/>
      <c r="E288" s="154">
        <v>2262.0</v>
      </c>
      <c r="F288" s="152"/>
      <c r="G288" s="155"/>
      <c r="H288" s="153" t="s">
        <v>1028</v>
      </c>
      <c r="I288" s="153" t="s">
        <v>1029</v>
      </c>
      <c r="J288" s="156">
        <v>286.0</v>
      </c>
      <c r="K288" s="157" t="s">
        <v>1030</v>
      </c>
      <c r="L288" s="158" t="s">
        <v>1031</v>
      </c>
      <c r="M288" s="158"/>
      <c r="N288" s="158"/>
      <c r="O288" s="158"/>
      <c r="P288" s="158"/>
      <c r="Q288" s="158"/>
      <c r="R288" s="158"/>
      <c r="S288" s="158"/>
      <c r="T288" s="158"/>
    </row>
    <row r="289">
      <c r="A289" s="152"/>
      <c r="B289" s="153"/>
      <c r="C289" s="152"/>
      <c r="D289" s="152"/>
      <c r="E289" s="154">
        <v>2263.0</v>
      </c>
      <c r="F289" s="152"/>
      <c r="G289" s="155"/>
      <c r="H289" s="153" t="s">
        <v>1032</v>
      </c>
      <c r="I289" s="153" t="s">
        <v>182</v>
      </c>
      <c r="J289" s="156">
        <v>287.0</v>
      </c>
      <c r="K289" s="157" t="s">
        <v>1033</v>
      </c>
      <c r="L289" s="158" t="s">
        <v>1034</v>
      </c>
      <c r="M289" s="158"/>
      <c r="N289" s="158"/>
      <c r="O289" s="158"/>
      <c r="P289" s="158"/>
      <c r="Q289" s="158"/>
      <c r="R289" s="158"/>
      <c r="S289" s="158"/>
      <c r="T289" s="158"/>
    </row>
    <row r="290">
      <c r="A290" s="152"/>
      <c r="B290" s="153"/>
      <c r="C290" s="152"/>
      <c r="D290" s="152"/>
      <c r="E290" s="154">
        <v>2264.0</v>
      </c>
      <c r="F290" s="152"/>
      <c r="G290" s="155"/>
      <c r="H290" s="153" t="s">
        <v>1035</v>
      </c>
      <c r="I290" s="153" t="s">
        <v>1029</v>
      </c>
      <c r="J290" s="156">
        <v>288.0</v>
      </c>
      <c r="K290" s="157" t="s">
        <v>1036</v>
      </c>
      <c r="L290" s="158" t="s">
        <v>1037</v>
      </c>
      <c r="M290" s="158"/>
      <c r="N290" s="158"/>
      <c r="O290" s="158"/>
      <c r="P290" s="158"/>
      <c r="Q290" s="158"/>
      <c r="R290" s="158"/>
      <c r="S290" s="158"/>
      <c r="T290" s="158"/>
    </row>
    <row r="291">
      <c r="A291" s="152"/>
      <c r="B291" s="153"/>
      <c r="C291" s="152"/>
      <c r="D291" s="152"/>
      <c r="E291" s="154">
        <v>2265.0</v>
      </c>
      <c r="F291" s="152"/>
      <c r="G291" s="155"/>
      <c r="H291" s="153" t="s">
        <v>1038</v>
      </c>
      <c r="I291" s="153" t="s">
        <v>246</v>
      </c>
      <c r="J291" s="156">
        <v>289.0</v>
      </c>
      <c r="K291" s="157" t="s">
        <v>1039</v>
      </c>
      <c r="L291" s="158" t="s">
        <v>1040</v>
      </c>
      <c r="M291" s="158"/>
      <c r="N291" s="158"/>
      <c r="O291" s="158"/>
      <c r="P291" s="158"/>
      <c r="Q291" s="158"/>
      <c r="R291" s="158"/>
      <c r="S291" s="158"/>
      <c r="T291" s="158"/>
    </row>
    <row r="292">
      <c r="A292" s="152"/>
      <c r="B292" s="153"/>
      <c r="C292" s="152"/>
      <c r="D292" s="152"/>
      <c r="E292" s="154">
        <v>2266.0</v>
      </c>
      <c r="F292" s="152"/>
      <c r="G292" s="155"/>
      <c r="H292" s="153" t="s">
        <v>1041</v>
      </c>
      <c r="I292" s="153" t="s">
        <v>246</v>
      </c>
      <c r="J292" s="156">
        <v>290.0</v>
      </c>
      <c r="K292" s="157" t="s">
        <v>1042</v>
      </c>
      <c r="L292" s="158" t="s">
        <v>1043</v>
      </c>
      <c r="M292" s="158"/>
      <c r="N292" s="158"/>
      <c r="O292" s="158"/>
      <c r="P292" s="158"/>
      <c r="Q292" s="158"/>
      <c r="R292" s="158"/>
      <c r="S292" s="158"/>
      <c r="T292" s="158"/>
    </row>
    <row r="293">
      <c r="A293" s="152"/>
      <c r="B293" s="153"/>
      <c r="C293" s="152"/>
      <c r="D293" s="152"/>
      <c r="E293" s="154">
        <v>2311.0</v>
      </c>
      <c r="F293" s="152"/>
      <c r="G293" s="155"/>
      <c r="H293" s="153" t="s">
        <v>1044</v>
      </c>
      <c r="I293" s="153" t="s">
        <v>246</v>
      </c>
      <c r="J293" s="156">
        <v>291.0</v>
      </c>
      <c r="K293" s="157" t="s">
        <v>1045</v>
      </c>
      <c r="L293" s="158" t="s">
        <v>1046</v>
      </c>
      <c r="M293" s="158"/>
      <c r="N293" s="158"/>
      <c r="O293" s="158"/>
      <c r="P293" s="158"/>
      <c r="Q293" s="158"/>
      <c r="R293" s="158"/>
      <c r="S293" s="158"/>
      <c r="T293" s="158"/>
    </row>
    <row r="294">
      <c r="A294" s="152"/>
      <c r="B294" s="153"/>
      <c r="C294" s="152"/>
      <c r="D294" s="152"/>
      <c r="E294" s="154">
        <v>2312.0</v>
      </c>
      <c r="F294" s="152"/>
      <c r="G294" s="155"/>
      <c r="H294" s="153" t="s">
        <v>1047</v>
      </c>
      <c r="I294" s="153" t="s">
        <v>661</v>
      </c>
      <c r="J294" s="156">
        <v>292.0</v>
      </c>
      <c r="K294" s="157" t="s">
        <v>1048</v>
      </c>
      <c r="L294" s="158" t="s">
        <v>1049</v>
      </c>
      <c r="M294" s="158"/>
      <c r="N294" s="158"/>
      <c r="O294" s="158"/>
      <c r="P294" s="158"/>
      <c r="Q294" s="158"/>
      <c r="R294" s="158"/>
      <c r="S294" s="158"/>
      <c r="T294" s="158"/>
    </row>
    <row r="295">
      <c r="A295" s="152"/>
      <c r="B295" s="153"/>
      <c r="C295" s="152"/>
      <c r="D295" s="152"/>
      <c r="E295" s="154">
        <v>2313.0</v>
      </c>
      <c r="F295" s="152"/>
      <c r="G295" s="155"/>
      <c r="H295" s="153" t="s">
        <v>1050</v>
      </c>
      <c r="I295" s="153" t="s">
        <v>156</v>
      </c>
      <c r="J295" s="156">
        <v>293.0</v>
      </c>
      <c r="K295" s="157" t="s">
        <v>1051</v>
      </c>
      <c r="L295" s="158" t="s">
        <v>1052</v>
      </c>
      <c r="M295" s="158"/>
      <c r="N295" s="158"/>
      <c r="O295" s="158"/>
      <c r="P295" s="158"/>
      <c r="Q295" s="158"/>
      <c r="R295" s="158"/>
      <c r="S295" s="158"/>
      <c r="T295" s="158"/>
    </row>
    <row r="296">
      <c r="A296" s="152"/>
      <c r="B296" s="153"/>
      <c r="C296" s="152"/>
      <c r="D296" s="152"/>
      <c r="E296" s="154">
        <v>2314.0</v>
      </c>
      <c r="F296" s="152"/>
      <c r="G296" s="155"/>
      <c r="H296" s="153" t="s">
        <v>1053</v>
      </c>
      <c r="I296" s="153" t="s">
        <v>1054</v>
      </c>
      <c r="J296" s="156">
        <v>294.0</v>
      </c>
      <c r="K296" s="157" t="s">
        <v>1055</v>
      </c>
      <c r="L296" s="158" t="s">
        <v>1056</v>
      </c>
      <c r="M296" s="158"/>
      <c r="N296" s="158"/>
      <c r="O296" s="158"/>
      <c r="P296" s="158"/>
      <c r="Q296" s="158"/>
      <c r="R296" s="158"/>
      <c r="S296" s="158"/>
      <c r="T296" s="158"/>
    </row>
    <row r="297">
      <c r="A297" s="152"/>
      <c r="B297" s="153"/>
      <c r="C297" s="152"/>
      <c r="D297" s="152"/>
      <c r="E297" s="154">
        <v>2315.0</v>
      </c>
      <c r="F297" s="152"/>
      <c r="G297" s="155"/>
      <c r="H297" s="153" t="s">
        <v>57</v>
      </c>
      <c r="I297" s="153" t="s">
        <v>401</v>
      </c>
      <c r="J297" s="156">
        <v>295.0</v>
      </c>
      <c r="K297" s="157" t="s">
        <v>1057</v>
      </c>
      <c r="L297" s="158" t="s">
        <v>1058</v>
      </c>
      <c r="M297" s="158"/>
      <c r="N297" s="158"/>
      <c r="O297" s="158"/>
      <c r="P297" s="158"/>
      <c r="Q297" s="158"/>
      <c r="R297" s="158"/>
      <c r="S297" s="158"/>
      <c r="T297" s="158"/>
    </row>
    <row r="298">
      <c r="A298" s="152"/>
      <c r="B298" s="153"/>
      <c r="C298" s="152"/>
      <c r="D298" s="152"/>
      <c r="E298" s="154">
        <v>2316.0</v>
      </c>
      <c r="F298" s="152"/>
      <c r="G298" s="155"/>
      <c r="H298" s="153" t="s">
        <v>1059</v>
      </c>
      <c r="I298" s="153" t="s">
        <v>401</v>
      </c>
      <c r="J298" s="156">
        <v>296.0</v>
      </c>
      <c r="K298" s="157" t="s">
        <v>1060</v>
      </c>
      <c r="L298" s="158" t="s">
        <v>1061</v>
      </c>
      <c r="M298" s="158"/>
      <c r="N298" s="158"/>
      <c r="O298" s="158"/>
      <c r="P298" s="158"/>
      <c r="Q298" s="158"/>
      <c r="R298" s="158"/>
      <c r="S298" s="158"/>
      <c r="T298" s="158"/>
    </row>
    <row r="299">
      <c r="A299" s="152"/>
      <c r="B299" s="153"/>
      <c r="C299" s="152"/>
      <c r="D299" s="152"/>
      <c r="E299" s="154">
        <v>2321.0</v>
      </c>
      <c r="F299" s="152"/>
      <c r="G299" s="155"/>
      <c r="H299" s="153" t="s">
        <v>1062</v>
      </c>
      <c r="I299" s="153" t="s">
        <v>246</v>
      </c>
      <c r="J299" s="156">
        <v>297.0</v>
      </c>
      <c r="K299" s="157" t="s">
        <v>1063</v>
      </c>
      <c r="L299" s="158" t="s">
        <v>1064</v>
      </c>
      <c r="M299" s="158"/>
      <c r="N299" s="158"/>
      <c r="O299" s="158"/>
      <c r="P299" s="158"/>
      <c r="Q299" s="158"/>
      <c r="R299" s="158"/>
      <c r="S299" s="158"/>
      <c r="T299" s="158"/>
    </row>
    <row r="300">
      <c r="A300" s="152"/>
      <c r="B300" s="153"/>
      <c r="C300" s="152"/>
      <c r="D300" s="152"/>
      <c r="E300" s="154">
        <v>2322.0</v>
      </c>
      <c r="F300" s="152"/>
      <c r="G300" s="155"/>
      <c r="H300" s="153" t="s">
        <v>1065</v>
      </c>
      <c r="I300" s="153" t="s">
        <v>608</v>
      </c>
      <c r="J300" s="156">
        <v>298.0</v>
      </c>
      <c r="K300" s="157" t="s">
        <v>1066</v>
      </c>
      <c r="L300" s="158" t="s">
        <v>1067</v>
      </c>
      <c r="M300" s="158"/>
      <c r="N300" s="158"/>
      <c r="O300" s="158"/>
      <c r="P300" s="158"/>
      <c r="Q300" s="158"/>
      <c r="R300" s="158"/>
      <c r="S300" s="158"/>
      <c r="T300" s="158"/>
    </row>
    <row r="301">
      <c r="A301" s="152"/>
      <c r="B301" s="153"/>
      <c r="C301" s="152"/>
      <c r="D301" s="152"/>
      <c r="E301" s="154">
        <v>2323.0</v>
      </c>
      <c r="F301" s="152"/>
      <c r="G301" s="155"/>
      <c r="H301" s="153" t="s">
        <v>1068</v>
      </c>
      <c r="I301" s="153" t="s">
        <v>167</v>
      </c>
      <c r="J301" s="156">
        <v>299.0</v>
      </c>
      <c r="K301" s="157" t="s">
        <v>1069</v>
      </c>
      <c r="L301" s="158" t="s">
        <v>1070</v>
      </c>
      <c r="M301" s="158"/>
      <c r="N301" s="158"/>
      <c r="O301" s="158"/>
      <c r="P301" s="158"/>
      <c r="Q301" s="158"/>
      <c r="R301" s="158"/>
      <c r="S301" s="158"/>
      <c r="T301" s="158"/>
    </row>
    <row r="302">
      <c r="A302" s="152"/>
      <c r="B302" s="153"/>
      <c r="C302" s="152"/>
      <c r="D302" s="152"/>
      <c r="E302" s="154">
        <v>2324.0</v>
      </c>
      <c r="F302" s="152"/>
      <c r="G302" s="155"/>
      <c r="H302" s="153" t="s">
        <v>1071</v>
      </c>
      <c r="I302" s="153" t="s">
        <v>167</v>
      </c>
      <c r="J302" s="156">
        <v>300.0</v>
      </c>
      <c r="K302" s="157" t="s">
        <v>1072</v>
      </c>
      <c r="L302" s="158" t="s">
        <v>1073</v>
      </c>
      <c r="M302" s="158"/>
      <c r="N302" s="158"/>
      <c r="O302" s="158"/>
      <c r="P302" s="158"/>
      <c r="Q302" s="158"/>
      <c r="R302" s="158"/>
      <c r="S302" s="158"/>
      <c r="T302" s="158"/>
    </row>
    <row r="303">
      <c r="A303" s="152"/>
      <c r="B303" s="153"/>
      <c r="C303" s="152"/>
      <c r="D303" s="152"/>
      <c r="E303" s="154">
        <v>2325.0</v>
      </c>
      <c r="F303" s="152"/>
      <c r="G303" s="155"/>
      <c r="H303" s="153" t="s">
        <v>1074</v>
      </c>
      <c r="I303" s="153" t="s">
        <v>608</v>
      </c>
      <c r="J303" s="156">
        <v>301.0</v>
      </c>
      <c r="K303" s="157" t="s">
        <v>1075</v>
      </c>
      <c r="L303" s="158" t="s">
        <v>1076</v>
      </c>
      <c r="M303" s="158"/>
      <c r="N303" s="158"/>
      <c r="O303" s="158"/>
      <c r="P303" s="158"/>
      <c r="Q303" s="158"/>
      <c r="R303" s="158"/>
      <c r="S303" s="158"/>
      <c r="T303" s="158"/>
    </row>
    <row r="304">
      <c r="A304" s="152"/>
      <c r="B304" s="153"/>
      <c r="C304" s="152"/>
      <c r="D304" s="152"/>
      <c r="E304" s="154">
        <v>2326.0</v>
      </c>
      <c r="F304" s="152"/>
      <c r="G304" s="155"/>
      <c r="H304" s="153" t="s">
        <v>1077</v>
      </c>
      <c r="I304" s="153" t="s">
        <v>167</v>
      </c>
      <c r="J304" s="156">
        <v>302.0</v>
      </c>
      <c r="K304" s="157" t="s">
        <v>1078</v>
      </c>
      <c r="L304" s="158" t="s">
        <v>1079</v>
      </c>
      <c r="M304" s="158"/>
      <c r="N304" s="158"/>
      <c r="O304" s="158"/>
      <c r="P304" s="158"/>
      <c r="Q304" s="158"/>
      <c r="R304" s="158"/>
      <c r="S304" s="158"/>
      <c r="T304" s="158"/>
    </row>
    <row r="305">
      <c r="A305" s="152"/>
      <c r="B305" s="153"/>
      <c r="C305" s="152"/>
      <c r="D305" s="152"/>
      <c r="E305" s="154">
        <v>2331.0</v>
      </c>
      <c r="F305" s="152"/>
      <c r="G305" s="155"/>
      <c r="H305" s="153" t="s">
        <v>1080</v>
      </c>
      <c r="I305" s="153" t="s">
        <v>631</v>
      </c>
      <c r="J305" s="156">
        <v>303.0</v>
      </c>
      <c r="K305" s="157" t="s">
        <v>1081</v>
      </c>
      <c r="L305" s="158" t="s">
        <v>1082</v>
      </c>
      <c r="M305" s="158"/>
      <c r="N305" s="158"/>
      <c r="O305" s="158"/>
      <c r="P305" s="158"/>
      <c r="Q305" s="158"/>
      <c r="R305" s="158"/>
      <c r="S305" s="158"/>
      <c r="T305" s="158"/>
    </row>
    <row r="306">
      <c r="A306" s="152"/>
      <c r="B306" s="153"/>
      <c r="C306" s="152"/>
      <c r="D306" s="152"/>
      <c r="E306" s="154">
        <v>2332.0</v>
      </c>
      <c r="F306" s="152"/>
      <c r="G306" s="155"/>
      <c r="H306" s="153" t="s">
        <v>1083</v>
      </c>
      <c r="I306" s="153" t="s">
        <v>1084</v>
      </c>
      <c r="J306" s="156">
        <v>304.0</v>
      </c>
      <c r="K306" s="157" t="s">
        <v>1085</v>
      </c>
      <c r="L306" s="158" t="s">
        <v>1086</v>
      </c>
      <c r="M306" s="158"/>
      <c r="N306" s="158"/>
      <c r="O306" s="158"/>
      <c r="P306" s="158"/>
      <c r="Q306" s="158"/>
      <c r="R306" s="158"/>
      <c r="S306" s="158"/>
      <c r="T306" s="158"/>
    </row>
    <row r="307">
      <c r="A307" s="152"/>
      <c r="B307" s="153"/>
      <c r="C307" s="152"/>
      <c r="D307" s="152"/>
      <c r="E307" s="154">
        <v>2333.0</v>
      </c>
      <c r="F307" s="152"/>
      <c r="G307" s="155"/>
      <c r="H307" s="153" t="s">
        <v>1087</v>
      </c>
      <c r="I307" s="153" t="s">
        <v>434</v>
      </c>
      <c r="J307" s="156">
        <v>305.0</v>
      </c>
      <c r="K307" s="157" t="s">
        <v>1088</v>
      </c>
      <c r="L307" s="158" t="s">
        <v>1089</v>
      </c>
      <c r="M307" s="158"/>
      <c r="N307" s="158"/>
      <c r="O307" s="158"/>
      <c r="P307" s="158"/>
      <c r="Q307" s="158"/>
      <c r="R307" s="158"/>
      <c r="S307" s="158"/>
      <c r="T307" s="158"/>
    </row>
    <row r="308">
      <c r="A308" s="152"/>
      <c r="B308" s="153"/>
      <c r="C308" s="152"/>
      <c r="D308" s="152"/>
      <c r="E308" s="154">
        <v>2334.0</v>
      </c>
      <c r="F308" s="152"/>
      <c r="G308" s="155"/>
      <c r="H308" s="153" t="s">
        <v>1090</v>
      </c>
      <c r="I308" s="153" t="s">
        <v>156</v>
      </c>
      <c r="J308" s="156">
        <v>306.0</v>
      </c>
      <c r="K308" s="157" t="s">
        <v>1091</v>
      </c>
      <c r="L308" s="158" t="s">
        <v>1092</v>
      </c>
      <c r="M308" s="158"/>
      <c r="N308" s="158"/>
      <c r="O308" s="158"/>
      <c r="P308" s="158"/>
      <c r="Q308" s="158"/>
      <c r="R308" s="158"/>
      <c r="S308" s="158"/>
      <c r="T308" s="158"/>
    </row>
    <row r="309">
      <c r="A309" s="152"/>
      <c r="B309" s="153"/>
      <c r="C309" s="152"/>
      <c r="D309" s="152"/>
      <c r="E309" s="154">
        <v>2335.0</v>
      </c>
      <c r="F309" s="152"/>
      <c r="G309" s="155"/>
      <c r="H309" s="153" t="s">
        <v>1093</v>
      </c>
      <c r="I309" s="153" t="s">
        <v>1084</v>
      </c>
      <c r="J309" s="156">
        <v>307.0</v>
      </c>
      <c r="K309" s="157" t="s">
        <v>1094</v>
      </c>
      <c r="L309" s="158" t="s">
        <v>1095</v>
      </c>
      <c r="M309" s="158"/>
      <c r="N309" s="158"/>
      <c r="O309" s="158"/>
      <c r="P309" s="158"/>
      <c r="Q309" s="158"/>
      <c r="R309" s="158"/>
      <c r="S309" s="158"/>
      <c r="T309" s="158"/>
    </row>
    <row r="310">
      <c r="A310" s="152"/>
      <c r="B310" s="153"/>
      <c r="C310" s="152"/>
      <c r="D310" s="152"/>
      <c r="E310" s="154">
        <v>2336.0</v>
      </c>
      <c r="F310" s="152"/>
      <c r="G310" s="155"/>
      <c r="H310" s="153" t="s">
        <v>1096</v>
      </c>
      <c r="I310" s="153" t="s">
        <v>230</v>
      </c>
      <c r="J310" s="156">
        <v>308.0</v>
      </c>
      <c r="K310" s="157" t="s">
        <v>1097</v>
      </c>
      <c r="L310" s="158" t="s">
        <v>1098</v>
      </c>
      <c r="M310" s="158"/>
      <c r="N310" s="158"/>
      <c r="O310" s="158"/>
      <c r="P310" s="158"/>
      <c r="Q310" s="158"/>
      <c r="R310" s="158"/>
      <c r="S310" s="158"/>
      <c r="T310" s="158"/>
    </row>
    <row r="311">
      <c r="A311" s="152"/>
      <c r="B311" s="153"/>
      <c r="C311" s="152"/>
      <c r="D311" s="152"/>
      <c r="E311" s="154">
        <v>2341.0</v>
      </c>
      <c r="F311" s="152"/>
      <c r="G311" s="155"/>
      <c r="H311" s="153" t="s">
        <v>1099</v>
      </c>
      <c r="I311" s="153" t="s">
        <v>621</v>
      </c>
      <c r="J311" s="156">
        <v>309.0</v>
      </c>
      <c r="K311" s="157" t="s">
        <v>1100</v>
      </c>
      <c r="L311" s="158" t="s">
        <v>1101</v>
      </c>
      <c r="M311" s="158"/>
      <c r="N311" s="158"/>
      <c r="O311" s="158"/>
      <c r="P311" s="158"/>
      <c r="Q311" s="158"/>
      <c r="R311" s="158"/>
      <c r="S311" s="158"/>
      <c r="T311" s="158"/>
    </row>
    <row r="312">
      <c r="A312" s="152"/>
      <c r="B312" s="153"/>
      <c r="C312" s="152"/>
      <c r="D312" s="152"/>
      <c r="E312" s="154">
        <v>2342.0</v>
      </c>
      <c r="F312" s="152"/>
      <c r="G312" s="155"/>
      <c r="H312" s="153" t="s">
        <v>1102</v>
      </c>
      <c r="I312" s="153" t="s">
        <v>1103</v>
      </c>
      <c r="J312" s="156">
        <v>310.0</v>
      </c>
      <c r="K312" s="157" t="s">
        <v>1100</v>
      </c>
      <c r="L312" s="158" t="s">
        <v>1104</v>
      </c>
      <c r="M312" s="158"/>
      <c r="N312" s="158"/>
      <c r="O312" s="158"/>
      <c r="P312" s="158"/>
      <c r="Q312" s="158"/>
      <c r="R312" s="158"/>
      <c r="S312" s="158"/>
      <c r="T312" s="158"/>
    </row>
    <row r="313">
      <c r="A313" s="152"/>
      <c r="B313" s="153"/>
      <c r="C313" s="152"/>
      <c r="D313" s="152"/>
      <c r="E313" s="154">
        <v>2343.0</v>
      </c>
      <c r="F313" s="152"/>
      <c r="G313" s="155"/>
      <c r="H313" s="153" t="s">
        <v>1105</v>
      </c>
      <c r="I313" s="153" t="s">
        <v>188</v>
      </c>
      <c r="J313" s="156">
        <v>311.0</v>
      </c>
      <c r="K313" s="157" t="s">
        <v>1106</v>
      </c>
      <c r="L313" s="158" t="s">
        <v>1107</v>
      </c>
      <c r="M313" s="158"/>
      <c r="N313" s="158"/>
      <c r="O313" s="158"/>
      <c r="P313" s="158"/>
      <c r="Q313" s="158"/>
      <c r="R313" s="158"/>
      <c r="S313" s="158"/>
      <c r="T313" s="158"/>
    </row>
    <row r="314">
      <c r="A314" s="152"/>
      <c r="B314" s="153"/>
      <c r="C314" s="152"/>
      <c r="D314" s="152"/>
      <c r="E314" s="154">
        <v>2344.0</v>
      </c>
      <c r="F314" s="152"/>
      <c r="G314" s="155"/>
      <c r="H314" s="153" t="s">
        <v>1108</v>
      </c>
      <c r="I314" s="153" t="s">
        <v>167</v>
      </c>
      <c r="J314" s="156">
        <v>312.0</v>
      </c>
      <c r="K314" s="157" t="s">
        <v>1109</v>
      </c>
      <c r="L314" s="158" t="s">
        <v>1110</v>
      </c>
      <c r="M314" s="158"/>
      <c r="N314" s="158"/>
      <c r="O314" s="158"/>
      <c r="P314" s="158"/>
      <c r="Q314" s="158"/>
      <c r="R314" s="158"/>
      <c r="S314" s="158"/>
      <c r="T314" s="158"/>
    </row>
    <row r="315">
      <c r="A315" s="152"/>
      <c r="B315" s="153"/>
      <c r="C315" s="152"/>
      <c r="D315" s="152"/>
      <c r="E315" s="154">
        <v>2345.0</v>
      </c>
      <c r="F315" s="152"/>
      <c r="G315" s="155"/>
      <c r="H315" s="153" t="s">
        <v>1111</v>
      </c>
      <c r="I315" s="153" t="s">
        <v>167</v>
      </c>
      <c r="J315" s="156">
        <v>313.0</v>
      </c>
      <c r="K315" s="157" t="s">
        <v>1112</v>
      </c>
      <c r="L315" s="158" t="s">
        <v>1113</v>
      </c>
      <c r="M315" s="158"/>
      <c r="N315" s="158"/>
      <c r="O315" s="158"/>
      <c r="P315" s="158"/>
      <c r="Q315" s="158"/>
      <c r="R315" s="158"/>
      <c r="S315" s="158"/>
      <c r="T315" s="158"/>
    </row>
    <row r="316">
      <c r="A316" s="152"/>
      <c r="B316" s="153"/>
      <c r="C316" s="152"/>
      <c r="D316" s="152"/>
      <c r="E316" s="154">
        <v>2346.0</v>
      </c>
      <c r="F316" s="152"/>
      <c r="G316" s="155"/>
      <c r="H316" s="153" t="s">
        <v>1114</v>
      </c>
      <c r="I316" s="153" t="s">
        <v>167</v>
      </c>
      <c r="J316" s="156">
        <v>314.0</v>
      </c>
      <c r="K316" s="157" t="s">
        <v>1112</v>
      </c>
      <c r="L316" s="153" t="s">
        <v>1115</v>
      </c>
      <c r="M316" s="153"/>
      <c r="N316" s="153"/>
      <c r="O316" s="153"/>
      <c r="P316" s="153"/>
      <c r="Q316" s="153"/>
      <c r="R316" s="153"/>
      <c r="S316" s="153"/>
      <c r="T316" s="153"/>
    </row>
    <row r="317">
      <c r="A317" s="152"/>
      <c r="B317" s="153"/>
      <c r="C317" s="152"/>
      <c r="D317" s="152"/>
      <c r="E317" s="154">
        <v>2351.0</v>
      </c>
      <c r="F317" s="152"/>
      <c r="G317" s="155"/>
      <c r="H317" s="162" t="s">
        <v>100</v>
      </c>
      <c r="I317" s="162" t="s">
        <v>182</v>
      </c>
      <c r="J317" s="163">
        <v>1225.0</v>
      </c>
      <c r="K317" s="164" t="s">
        <v>1116</v>
      </c>
      <c r="L317" s="165" t="s">
        <v>1117</v>
      </c>
      <c r="M317" s="165"/>
      <c r="N317" s="165"/>
      <c r="O317" s="165"/>
      <c r="P317" s="165"/>
      <c r="Q317" s="165"/>
      <c r="R317" s="165"/>
      <c r="S317" s="165"/>
      <c r="T317" s="165"/>
    </row>
    <row r="318">
      <c r="A318" s="152"/>
      <c r="B318" s="153"/>
      <c r="C318" s="152"/>
      <c r="D318" s="152"/>
      <c r="E318" s="154">
        <v>2352.0</v>
      </c>
      <c r="F318" s="152"/>
      <c r="G318" s="155"/>
      <c r="H318" s="153" t="s">
        <v>1118</v>
      </c>
      <c r="I318" s="153" t="s">
        <v>167</v>
      </c>
      <c r="J318" s="156">
        <v>315.0</v>
      </c>
      <c r="K318" s="157" t="s">
        <v>1119</v>
      </c>
      <c r="L318" s="158" t="s">
        <v>1120</v>
      </c>
      <c r="M318" s="158"/>
      <c r="N318" s="158"/>
      <c r="O318" s="158"/>
      <c r="P318" s="158"/>
      <c r="Q318" s="158"/>
      <c r="R318" s="158"/>
      <c r="S318" s="158"/>
      <c r="T318" s="158"/>
    </row>
    <row r="319">
      <c r="A319" s="152"/>
      <c r="B319" s="153"/>
      <c r="C319" s="152"/>
      <c r="D319" s="152"/>
      <c r="E319" s="154">
        <v>2353.0</v>
      </c>
      <c r="F319" s="152"/>
      <c r="G319" s="155"/>
      <c r="H319" s="153" t="s">
        <v>1121</v>
      </c>
      <c r="I319" s="153" t="s">
        <v>167</v>
      </c>
      <c r="J319" s="156">
        <v>316.0</v>
      </c>
      <c r="K319" s="157" t="s">
        <v>1122</v>
      </c>
      <c r="L319" s="153" t="s">
        <v>1123</v>
      </c>
      <c r="M319" s="153"/>
      <c r="N319" s="153"/>
      <c r="O319" s="153"/>
      <c r="P319" s="153"/>
      <c r="Q319" s="153"/>
      <c r="R319" s="153"/>
      <c r="S319" s="153"/>
      <c r="T319" s="153"/>
    </row>
    <row r="320">
      <c r="A320" s="152"/>
      <c r="B320" s="153"/>
      <c r="C320" s="152"/>
      <c r="D320" s="152"/>
      <c r="E320" s="154">
        <v>2354.0</v>
      </c>
      <c r="F320" s="152"/>
      <c r="G320" s="155"/>
      <c r="H320" s="153" t="s">
        <v>1124</v>
      </c>
      <c r="I320" s="153" t="s">
        <v>182</v>
      </c>
      <c r="J320" s="156">
        <v>317.0</v>
      </c>
      <c r="K320" s="157" t="s">
        <v>1125</v>
      </c>
      <c r="L320" s="158" t="s">
        <v>1126</v>
      </c>
      <c r="M320" s="158"/>
      <c r="N320" s="158"/>
      <c r="O320" s="158"/>
      <c r="P320" s="158"/>
      <c r="Q320" s="158"/>
      <c r="R320" s="158"/>
      <c r="S320" s="158"/>
      <c r="T320" s="158"/>
    </row>
    <row r="321">
      <c r="A321" s="152"/>
      <c r="B321" s="153"/>
      <c r="C321" s="152"/>
      <c r="D321" s="152"/>
      <c r="E321" s="154">
        <v>2355.0</v>
      </c>
      <c r="F321" s="152"/>
      <c r="G321" s="155"/>
      <c r="H321" s="153" t="s">
        <v>1127</v>
      </c>
      <c r="I321" s="153" t="s">
        <v>167</v>
      </c>
      <c r="J321" s="156">
        <v>318.0</v>
      </c>
      <c r="K321" s="157" t="s">
        <v>1128</v>
      </c>
      <c r="L321" s="158" t="s">
        <v>1129</v>
      </c>
      <c r="M321" s="158"/>
      <c r="N321" s="158"/>
      <c r="O321" s="158"/>
      <c r="P321" s="158"/>
      <c r="Q321" s="158"/>
      <c r="R321" s="158"/>
      <c r="S321" s="158"/>
      <c r="T321" s="158"/>
    </row>
    <row r="322">
      <c r="A322" s="152"/>
      <c r="B322" s="153"/>
      <c r="C322" s="152"/>
      <c r="D322" s="152"/>
      <c r="E322" s="154">
        <v>2356.0</v>
      </c>
      <c r="F322" s="152"/>
      <c r="G322" s="155"/>
      <c r="H322" s="153" t="s">
        <v>1130</v>
      </c>
      <c r="I322" s="153" t="s">
        <v>167</v>
      </c>
      <c r="J322" s="156">
        <v>319.0</v>
      </c>
      <c r="K322" s="157" t="s">
        <v>1131</v>
      </c>
      <c r="L322" s="158" t="s">
        <v>1132</v>
      </c>
      <c r="M322" s="158"/>
      <c r="N322" s="158"/>
      <c r="O322" s="158"/>
      <c r="P322" s="158"/>
      <c r="Q322" s="158"/>
      <c r="R322" s="158"/>
      <c r="S322" s="158"/>
      <c r="T322" s="158"/>
    </row>
    <row r="323">
      <c r="A323" s="152"/>
      <c r="B323" s="153"/>
      <c r="C323" s="152"/>
      <c r="D323" s="152"/>
      <c r="E323" s="154">
        <v>2361.0</v>
      </c>
      <c r="F323" s="152"/>
      <c r="G323" s="155"/>
      <c r="H323" s="153" t="s">
        <v>1133</v>
      </c>
      <c r="I323" s="153" t="s">
        <v>608</v>
      </c>
      <c r="J323" s="156">
        <v>320.0</v>
      </c>
      <c r="K323" s="157" t="s">
        <v>1134</v>
      </c>
      <c r="L323" s="158" t="s">
        <v>1135</v>
      </c>
      <c r="M323" s="158"/>
      <c r="N323" s="158"/>
      <c r="O323" s="158"/>
      <c r="P323" s="158"/>
      <c r="Q323" s="158"/>
      <c r="R323" s="158"/>
      <c r="S323" s="158"/>
      <c r="T323" s="158"/>
    </row>
    <row r="324">
      <c r="A324" s="152"/>
      <c r="B324" s="153"/>
      <c r="C324" s="152"/>
      <c r="D324" s="152"/>
      <c r="E324" s="154">
        <v>2362.0</v>
      </c>
      <c r="F324" s="152"/>
      <c r="G324" s="155"/>
      <c r="H324" s="153" t="s">
        <v>93</v>
      </c>
      <c r="I324" s="153" t="s">
        <v>182</v>
      </c>
      <c r="J324" s="156">
        <v>321.0</v>
      </c>
      <c r="K324" s="157" t="s">
        <v>1136</v>
      </c>
      <c r="L324" s="158" t="s">
        <v>1137</v>
      </c>
      <c r="M324" s="158"/>
      <c r="N324" s="158"/>
      <c r="O324" s="158"/>
      <c r="P324" s="158"/>
      <c r="Q324" s="158"/>
      <c r="R324" s="158"/>
      <c r="S324" s="158"/>
      <c r="T324" s="158"/>
    </row>
    <row r="325">
      <c r="A325" s="152"/>
      <c r="B325" s="153"/>
      <c r="C325" s="152"/>
      <c r="D325" s="152"/>
      <c r="E325" s="154">
        <v>2363.0</v>
      </c>
      <c r="F325" s="152"/>
      <c r="G325" s="155"/>
      <c r="H325" s="153" t="s">
        <v>1138</v>
      </c>
      <c r="I325" s="153" t="s">
        <v>182</v>
      </c>
      <c r="J325" s="156">
        <v>322.0</v>
      </c>
      <c r="K325" s="157" t="s">
        <v>1139</v>
      </c>
      <c r="L325" s="158" t="s">
        <v>1126</v>
      </c>
      <c r="M325" s="158"/>
      <c r="N325" s="158"/>
      <c r="O325" s="158"/>
      <c r="P325" s="158"/>
      <c r="Q325" s="158"/>
      <c r="R325" s="158"/>
      <c r="S325" s="158"/>
      <c r="T325" s="158"/>
    </row>
    <row r="326">
      <c r="A326" s="152"/>
      <c r="B326" s="153"/>
      <c r="C326" s="152"/>
      <c r="D326" s="152"/>
      <c r="E326" s="154">
        <v>2364.0</v>
      </c>
      <c r="F326" s="152"/>
      <c r="G326" s="155"/>
      <c r="H326" s="153" t="s">
        <v>1140</v>
      </c>
      <c r="I326" s="153" t="s">
        <v>167</v>
      </c>
      <c r="J326" s="156">
        <v>323.0</v>
      </c>
      <c r="K326" s="157" t="s">
        <v>1141</v>
      </c>
      <c r="L326" s="158" t="s">
        <v>1142</v>
      </c>
      <c r="M326" s="158"/>
      <c r="N326" s="158"/>
      <c r="O326" s="158"/>
      <c r="P326" s="158"/>
      <c r="Q326" s="158"/>
      <c r="R326" s="158"/>
      <c r="S326" s="158"/>
      <c r="T326" s="158"/>
    </row>
    <row r="327">
      <c r="A327" s="152"/>
      <c r="B327" s="153"/>
      <c r="C327" s="152"/>
      <c r="D327" s="152"/>
      <c r="E327" s="154">
        <v>2365.0</v>
      </c>
      <c r="F327" s="152"/>
      <c r="G327" s="155"/>
      <c r="H327" s="153" t="s">
        <v>1143</v>
      </c>
      <c r="I327" s="153" t="s">
        <v>453</v>
      </c>
      <c r="J327" s="156">
        <v>324.0</v>
      </c>
      <c r="K327" s="157" t="s">
        <v>1144</v>
      </c>
      <c r="L327" s="158" t="s">
        <v>1145</v>
      </c>
      <c r="M327" s="158"/>
      <c r="N327" s="158"/>
      <c r="O327" s="158"/>
      <c r="P327" s="158"/>
      <c r="Q327" s="158"/>
      <c r="R327" s="158"/>
      <c r="S327" s="158"/>
      <c r="T327" s="158"/>
    </row>
    <row r="328">
      <c r="A328" s="152"/>
      <c r="B328" s="153"/>
      <c r="C328" s="152"/>
      <c r="D328" s="152"/>
      <c r="E328" s="154">
        <v>2366.0</v>
      </c>
      <c r="F328" s="152"/>
      <c r="G328" s="155"/>
      <c r="H328" s="153" t="s">
        <v>1146</v>
      </c>
      <c r="I328" s="153" t="s">
        <v>167</v>
      </c>
      <c r="J328" s="156">
        <v>325.0</v>
      </c>
      <c r="K328" s="157" t="s">
        <v>1147</v>
      </c>
      <c r="L328" s="158" t="s">
        <v>1148</v>
      </c>
      <c r="M328" s="158"/>
      <c r="N328" s="158"/>
      <c r="O328" s="158"/>
      <c r="P328" s="158"/>
      <c r="Q328" s="158"/>
      <c r="R328" s="158"/>
      <c r="S328" s="158"/>
      <c r="T328" s="158"/>
    </row>
    <row r="329">
      <c r="A329" s="152"/>
      <c r="B329" s="153"/>
      <c r="C329" s="152"/>
      <c r="D329" s="152"/>
      <c r="E329" s="154">
        <v>2411.0</v>
      </c>
      <c r="F329" s="152"/>
      <c r="G329" s="155"/>
      <c r="H329" s="153" t="s">
        <v>1149</v>
      </c>
      <c r="I329" s="153" t="s">
        <v>453</v>
      </c>
      <c r="J329" s="156">
        <v>326.0</v>
      </c>
      <c r="K329" s="157" t="s">
        <v>1150</v>
      </c>
      <c r="L329" s="158" t="s">
        <v>1151</v>
      </c>
      <c r="M329" s="158"/>
      <c r="N329" s="158"/>
      <c r="O329" s="158"/>
      <c r="P329" s="158"/>
      <c r="Q329" s="158"/>
      <c r="R329" s="158"/>
      <c r="S329" s="158"/>
      <c r="T329" s="158"/>
    </row>
    <row r="330">
      <c r="A330" s="152"/>
      <c r="B330" s="153"/>
      <c r="C330" s="152"/>
      <c r="D330" s="152"/>
      <c r="E330" s="154">
        <v>2412.0</v>
      </c>
      <c r="F330" s="152"/>
      <c r="G330" s="155"/>
      <c r="H330" s="153" t="s">
        <v>1152</v>
      </c>
      <c r="I330" s="153" t="s">
        <v>167</v>
      </c>
      <c r="J330" s="156">
        <v>327.0</v>
      </c>
      <c r="K330" s="157" t="s">
        <v>1153</v>
      </c>
      <c r="L330" s="158" t="s">
        <v>1154</v>
      </c>
      <c r="M330" s="158"/>
      <c r="N330" s="158"/>
      <c r="O330" s="158"/>
      <c r="P330" s="158"/>
      <c r="Q330" s="158"/>
      <c r="R330" s="158"/>
      <c r="S330" s="158"/>
      <c r="T330" s="158"/>
    </row>
    <row r="331">
      <c r="A331" s="152"/>
      <c r="B331" s="153"/>
      <c r="C331" s="152"/>
      <c r="D331" s="152"/>
      <c r="E331" s="154">
        <v>2413.0</v>
      </c>
      <c r="F331" s="152"/>
      <c r="G331" s="155"/>
      <c r="H331" s="153" t="s">
        <v>1155</v>
      </c>
      <c r="I331" s="153" t="s">
        <v>509</v>
      </c>
      <c r="J331" s="156">
        <v>328.0</v>
      </c>
      <c r="K331" s="157" t="s">
        <v>1156</v>
      </c>
      <c r="L331" s="158" t="s">
        <v>1157</v>
      </c>
      <c r="M331" s="158"/>
      <c r="N331" s="158"/>
      <c r="O331" s="158"/>
      <c r="P331" s="158"/>
      <c r="Q331" s="158"/>
      <c r="R331" s="158"/>
      <c r="S331" s="158"/>
      <c r="T331" s="158"/>
    </row>
    <row r="332">
      <c r="A332" s="152"/>
      <c r="B332" s="153"/>
      <c r="C332" s="152"/>
      <c r="D332" s="152"/>
      <c r="E332" s="154">
        <v>2414.0</v>
      </c>
      <c r="F332" s="152"/>
      <c r="G332" s="155"/>
      <c r="H332" s="153" t="s">
        <v>1158</v>
      </c>
      <c r="I332" s="153" t="s">
        <v>246</v>
      </c>
      <c r="J332" s="156">
        <v>329.0</v>
      </c>
      <c r="K332" s="157" t="s">
        <v>1159</v>
      </c>
      <c r="L332" s="158" t="s">
        <v>1160</v>
      </c>
      <c r="M332" s="158"/>
      <c r="N332" s="158"/>
      <c r="O332" s="158"/>
      <c r="P332" s="158"/>
      <c r="Q332" s="158"/>
      <c r="R332" s="158"/>
      <c r="S332" s="158"/>
      <c r="T332" s="158"/>
    </row>
    <row r="333">
      <c r="A333" s="152"/>
      <c r="B333" s="153"/>
      <c r="C333" s="152"/>
      <c r="D333" s="152"/>
      <c r="E333" s="154">
        <v>2415.0</v>
      </c>
      <c r="F333" s="152"/>
      <c r="G333" s="155"/>
      <c r="H333" s="153" t="s">
        <v>1161</v>
      </c>
      <c r="I333" s="153" t="s">
        <v>188</v>
      </c>
      <c r="J333" s="156">
        <v>330.0</v>
      </c>
      <c r="K333" s="157" t="s">
        <v>1162</v>
      </c>
      <c r="L333" s="158" t="s">
        <v>1163</v>
      </c>
      <c r="M333" s="158"/>
      <c r="N333" s="158"/>
      <c r="O333" s="158"/>
      <c r="P333" s="158"/>
      <c r="Q333" s="158"/>
      <c r="R333" s="158"/>
      <c r="S333" s="158"/>
      <c r="T333" s="158"/>
    </row>
    <row r="334">
      <c r="A334" s="152"/>
      <c r="B334" s="153"/>
      <c r="C334" s="152"/>
      <c r="D334" s="152"/>
      <c r="E334" s="154">
        <v>2416.0</v>
      </c>
      <c r="F334" s="152"/>
      <c r="G334" s="155"/>
      <c r="H334" s="153" t="s">
        <v>94</v>
      </c>
      <c r="I334" s="153" t="s">
        <v>182</v>
      </c>
      <c r="J334" s="156">
        <v>331.0</v>
      </c>
      <c r="K334" s="157" t="s">
        <v>1164</v>
      </c>
      <c r="L334" s="158" t="s">
        <v>1165</v>
      </c>
      <c r="M334" s="158"/>
      <c r="N334" s="158"/>
      <c r="O334" s="158"/>
      <c r="P334" s="158"/>
      <c r="Q334" s="158"/>
      <c r="R334" s="158"/>
      <c r="S334" s="158"/>
      <c r="T334" s="158"/>
    </row>
    <row r="335">
      <c r="A335" s="152"/>
      <c r="B335" s="153"/>
      <c r="C335" s="152"/>
      <c r="D335" s="152"/>
      <c r="E335" s="154">
        <v>2421.0</v>
      </c>
      <c r="F335" s="152"/>
      <c r="G335" s="155"/>
      <c r="H335" s="153" t="s">
        <v>1166</v>
      </c>
      <c r="I335" s="153" t="s">
        <v>188</v>
      </c>
      <c r="J335" s="156">
        <v>332.0</v>
      </c>
      <c r="K335" s="157" t="s">
        <v>1167</v>
      </c>
      <c r="L335" s="158" t="s">
        <v>1168</v>
      </c>
      <c r="M335" s="158"/>
      <c r="N335" s="158"/>
      <c r="O335" s="158"/>
      <c r="P335" s="158"/>
      <c r="Q335" s="158"/>
      <c r="R335" s="158"/>
      <c r="S335" s="158"/>
      <c r="T335" s="158"/>
    </row>
    <row r="336">
      <c r="A336" s="152"/>
      <c r="B336" s="153"/>
      <c r="C336" s="152"/>
      <c r="D336" s="152"/>
      <c r="E336" s="154">
        <v>2422.0</v>
      </c>
      <c r="F336" s="152"/>
      <c r="G336" s="155"/>
      <c r="H336" s="153" t="s">
        <v>1169</v>
      </c>
      <c r="I336" s="153" t="s">
        <v>434</v>
      </c>
      <c r="J336" s="156">
        <v>333.0</v>
      </c>
      <c r="K336" s="157" t="s">
        <v>1170</v>
      </c>
      <c r="L336" s="158" t="s">
        <v>1171</v>
      </c>
      <c r="M336" s="158"/>
      <c r="N336" s="158"/>
      <c r="O336" s="158"/>
      <c r="P336" s="158"/>
      <c r="Q336" s="158"/>
      <c r="R336" s="158"/>
      <c r="S336" s="158"/>
      <c r="T336" s="158"/>
    </row>
    <row r="337">
      <c r="A337" s="152"/>
      <c r="B337" s="153"/>
      <c r="C337" s="152"/>
      <c r="D337" s="152"/>
      <c r="E337" s="154">
        <v>2423.0</v>
      </c>
      <c r="F337" s="152"/>
      <c r="G337" s="155"/>
      <c r="H337" s="153" t="s">
        <v>1172</v>
      </c>
      <c r="I337" s="153" t="s">
        <v>230</v>
      </c>
      <c r="J337" s="156">
        <v>334.0</v>
      </c>
      <c r="K337" s="157" t="s">
        <v>1173</v>
      </c>
      <c r="L337" s="158" t="s">
        <v>1174</v>
      </c>
      <c r="M337" s="158"/>
      <c r="N337" s="158"/>
      <c r="O337" s="158"/>
      <c r="P337" s="158"/>
      <c r="Q337" s="158"/>
      <c r="R337" s="158"/>
      <c r="S337" s="158"/>
      <c r="T337" s="158"/>
    </row>
    <row r="338">
      <c r="A338" s="152"/>
      <c r="B338" s="153"/>
      <c r="C338" s="152"/>
      <c r="D338" s="152"/>
      <c r="E338" s="154">
        <v>2424.0</v>
      </c>
      <c r="F338" s="152"/>
      <c r="G338" s="155"/>
      <c r="H338" s="153" t="s">
        <v>1175</v>
      </c>
      <c r="I338" s="153" t="s">
        <v>156</v>
      </c>
      <c r="J338" s="156">
        <v>335.0</v>
      </c>
      <c r="K338" s="157" t="s">
        <v>1176</v>
      </c>
      <c r="L338" s="158" t="s">
        <v>1177</v>
      </c>
      <c r="M338" s="158"/>
      <c r="N338" s="158"/>
      <c r="O338" s="158"/>
      <c r="P338" s="158"/>
      <c r="Q338" s="158"/>
      <c r="R338" s="158"/>
      <c r="S338" s="158"/>
      <c r="T338" s="158"/>
    </row>
    <row r="339">
      <c r="A339" s="152"/>
      <c r="B339" s="153"/>
      <c r="C339" s="152"/>
      <c r="D339" s="152"/>
      <c r="E339" s="154">
        <v>2425.0</v>
      </c>
      <c r="F339" s="152"/>
      <c r="G339" s="155"/>
      <c r="H339" s="153" t="s">
        <v>1178</v>
      </c>
      <c r="I339" s="153" t="s">
        <v>1179</v>
      </c>
      <c r="J339" s="156">
        <v>336.0</v>
      </c>
      <c r="K339" s="157" t="s">
        <v>1180</v>
      </c>
      <c r="L339" s="158" t="s">
        <v>1181</v>
      </c>
      <c r="M339" s="158"/>
      <c r="N339" s="158"/>
      <c r="O339" s="158"/>
      <c r="P339" s="158"/>
      <c r="Q339" s="158"/>
      <c r="R339" s="158"/>
      <c r="S339" s="158"/>
      <c r="T339" s="158"/>
    </row>
    <row r="340">
      <c r="A340" s="152"/>
      <c r="B340" s="153"/>
      <c r="C340" s="152"/>
      <c r="D340" s="152"/>
      <c r="E340" s="154">
        <v>2426.0</v>
      </c>
      <c r="F340" s="152"/>
      <c r="G340" s="155"/>
      <c r="H340" s="153" t="s">
        <v>1182</v>
      </c>
      <c r="I340" s="153" t="s">
        <v>167</v>
      </c>
      <c r="J340" s="156">
        <v>337.0</v>
      </c>
      <c r="K340" s="157" t="s">
        <v>1183</v>
      </c>
      <c r="L340" s="158" t="s">
        <v>1184</v>
      </c>
      <c r="M340" s="158"/>
      <c r="N340" s="158"/>
      <c r="O340" s="158"/>
      <c r="P340" s="158"/>
      <c r="Q340" s="158"/>
      <c r="R340" s="158"/>
      <c r="S340" s="158"/>
      <c r="T340" s="158"/>
    </row>
    <row r="341">
      <c r="A341" s="152"/>
      <c r="B341" s="153"/>
      <c r="C341" s="152"/>
      <c r="D341" s="152"/>
      <c r="E341" s="154">
        <v>2431.0</v>
      </c>
      <c r="F341" s="152"/>
      <c r="G341" s="155"/>
      <c r="H341" s="153" t="s">
        <v>1185</v>
      </c>
      <c r="I341" s="153" t="s">
        <v>509</v>
      </c>
      <c r="J341" s="156">
        <v>338.0</v>
      </c>
      <c r="K341" s="157" t="s">
        <v>1186</v>
      </c>
      <c r="L341" s="158" t="s">
        <v>1187</v>
      </c>
      <c r="M341" s="158"/>
      <c r="N341" s="158"/>
      <c r="O341" s="158"/>
      <c r="P341" s="158"/>
      <c r="Q341" s="158"/>
      <c r="R341" s="158"/>
      <c r="S341" s="158"/>
      <c r="T341" s="158"/>
    </row>
    <row r="342">
      <c r="A342" s="152"/>
      <c r="B342" s="153"/>
      <c r="C342" s="152"/>
      <c r="D342" s="152"/>
      <c r="E342" s="154">
        <v>2432.0</v>
      </c>
      <c r="F342" s="152"/>
      <c r="G342" s="155"/>
      <c r="H342" s="153" t="s">
        <v>1188</v>
      </c>
      <c r="I342" s="153" t="s">
        <v>167</v>
      </c>
      <c r="J342" s="156">
        <v>339.0</v>
      </c>
      <c r="K342" s="157" t="s">
        <v>1189</v>
      </c>
      <c r="L342" s="158" t="s">
        <v>1190</v>
      </c>
      <c r="M342" s="158"/>
      <c r="N342" s="158"/>
      <c r="O342" s="158"/>
      <c r="P342" s="158"/>
      <c r="Q342" s="158"/>
      <c r="R342" s="158"/>
      <c r="S342" s="158"/>
      <c r="T342" s="158"/>
    </row>
    <row r="343">
      <c r="A343" s="152"/>
      <c r="B343" s="153"/>
      <c r="C343" s="152"/>
      <c r="D343" s="152"/>
      <c r="E343" s="154">
        <v>2433.0</v>
      </c>
      <c r="F343" s="152"/>
      <c r="G343" s="155"/>
      <c r="H343" s="153" t="s">
        <v>1191</v>
      </c>
      <c r="I343" s="153" t="s">
        <v>519</v>
      </c>
      <c r="J343" s="156">
        <v>340.0</v>
      </c>
      <c r="K343" s="157" t="s">
        <v>1192</v>
      </c>
      <c r="L343" s="158" t="s">
        <v>1184</v>
      </c>
      <c r="M343" s="158"/>
      <c r="N343" s="158"/>
      <c r="O343" s="158"/>
      <c r="P343" s="158"/>
      <c r="Q343" s="158"/>
      <c r="R343" s="158"/>
      <c r="S343" s="158"/>
      <c r="T343" s="158"/>
    </row>
    <row r="344">
      <c r="A344" s="152"/>
      <c r="B344" s="153"/>
      <c r="C344" s="152"/>
      <c r="D344" s="152"/>
      <c r="E344" s="154">
        <v>2434.0</v>
      </c>
      <c r="F344" s="152"/>
      <c r="G344" s="155"/>
      <c r="H344" s="153" t="s">
        <v>1193</v>
      </c>
      <c r="I344" s="153" t="s">
        <v>230</v>
      </c>
      <c r="J344" s="156">
        <v>341.0</v>
      </c>
      <c r="K344" s="157" t="s">
        <v>1194</v>
      </c>
      <c r="L344" s="158" t="s">
        <v>1195</v>
      </c>
      <c r="M344" s="158"/>
      <c r="N344" s="158"/>
      <c r="O344" s="158"/>
      <c r="P344" s="158"/>
      <c r="Q344" s="158"/>
      <c r="R344" s="158"/>
      <c r="S344" s="158"/>
      <c r="T344" s="158"/>
    </row>
    <row r="345">
      <c r="A345" s="152"/>
      <c r="B345" s="153"/>
      <c r="C345" s="152"/>
      <c r="D345" s="152"/>
      <c r="E345" s="154">
        <v>2435.0</v>
      </c>
      <c r="F345" s="152"/>
      <c r="G345" s="155"/>
      <c r="H345" s="153" t="s">
        <v>1196</v>
      </c>
      <c r="I345" s="153" t="s">
        <v>156</v>
      </c>
      <c r="J345" s="156">
        <v>342.0</v>
      </c>
      <c r="K345" s="157" t="s">
        <v>1197</v>
      </c>
      <c r="L345" s="158" t="s">
        <v>1198</v>
      </c>
      <c r="M345" s="158"/>
      <c r="N345" s="158"/>
      <c r="O345" s="158"/>
      <c r="P345" s="158"/>
      <c r="Q345" s="158"/>
      <c r="R345" s="158"/>
      <c r="S345" s="158"/>
      <c r="T345" s="158"/>
    </row>
    <row r="346">
      <c r="A346" s="152"/>
      <c r="B346" s="153"/>
      <c r="C346" s="152"/>
      <c r="D346" s="152"/>
      <c r="E346" s="154">
        <v>2436.0</v>
      </c>
      <c r="F346" s="152"/>
      <c r="G346" s="155"/>
      <c r="H346" s="153" t="s">
        <v>1199</v>
      </c>
      <c r="I346" s="153" t="s">
        <v>230</v>
      </c>
      <c r="J346" s="156">
        <v>343.0</v>
      </c>
      <c r="K346" s="157" t="s">
        <v>1200</v>
      </c>
      <c r="L346" s="158" t="s">
        <v>1201</v>
      </c>
      <c r="M346" s="158"/>
      <c r="N346" s="158"/>
      <c r="O346" s="158"/>
      <c r="P346" s="158"/>
      <c r="Q346" s="158"/>
      <c r="R346" s="158"/>
      <c r="S346" s="158"/>
      <c r="T346" s="158"/>
    </row>
    <row r="347">
      <c r="A347" s="152"/>
      <c r="B347" s="153"/>
      <c r="C347" s="152"/>
      <c r="D347" s="152"/>
      <c r="E347" s="154">
        <v>2441.0</v>
      </c>
      <c r="F347" s="152"/>
      <c r="G347" s="155"/>
      <c r="H347" s="153" t="s">
        <v>1202</v>
      </c>
      <c r="I347" s="153" t="s">
        <v>167</v>
      </c>
      <c r="J347" s="156">
        <v>344.0</v>
      </c>
      <c r="K347" s="157" t="s">
        <v>1203</v>
      </c>
      <c r="L347" s="158" t="s">
        <v>1120</v>
      </c>
      <c r="M347" s="158"/>
      <c r="N347" s="158"/>
      <c r="O347" s="158"/>
      <c r="P347" s="158"/>
      <c r="Q347" s="158"/>
      <c r="R347" s="158"/>
      <c r="S347" s="158"/>
      <c r="T347" s="158"/>
    </row>
    <row r="348">
      <c r="A348" s="152"/>
      <c r="B348" s="153"/>
      <c r="C348" s="152"/>
      <c r="D348" s="152"/>
      <c r="E348" s="154">
        <v>2442.0</v>
      </c>
      <c r="F348" s="152"/>
      <c r="G348" s="155"/>
      <c r="H348" s="153" t="s">
        <v>1204</v>
      </c>
      <c r="I348" s="153" t="s">
        <v>167</v>
      </c>
      <c r="J348" s="156">
        <v>345.0</v>
      </c>
      <c r="K348" s="157" t="s">
        <v>1205</v>
      </c>
      <c r="L348" s="158" t="s">
        <v>1206</v>
      </c>
      <c r="M348" s="158"/>
      <c r="N348" s="158"/>
      <c r="O348" s="158"/>
      <c r="P348" s="158"/>
      <c r="Q348" s="158"/>
      <c r="R348" s="158"/>
      <c r="S348" s="158"/>
      <c r="T348" s="158"/>
    </row>
    <row r="349">
      <c r="A349" s="152"/>
      <c r="B349" s="153"/>
      <c r="C349" s="152"/>
      <c r="D349" s="152"/>
      <c r="E349" s="154">
        <v>2443.0</v>
      </c>
      <c r="F349" s="152"/>
      <c r="G349" s="155"/>
      <c r="H349" s="153" t="s">
        <v>1207</v>
      </c>
      <c r="I349" s="153" t="s">
        <v>167</v>
      </c>
      <c r="J349" s="156">
        <v>346.0</v>
      </c>
      <c r="K349" s="157" t="s">
        <v>1208</v>
      </c>
      <c r="L349" s="158" t="s">
        <v>1209</v>
      </c>
      <c r="M349" s="158"/>
      <c r="N349" s="158"/>
      <c r="O349" s="158"/>
      <c r="P349" s="158"/>
      <c r="Q349" s="158"/>
      <c r="R349" s="158"/>
      <c r="S349" s="158"/>
      <c r="T349" s="158"/>
    </row>
    <row r="350">
      <c r="A350" s="152"/>
      <c r="B350" s="153"/>
      <c r="C350" s="152"/>
      <c r="D350" s="152"/>
      <c r="E350" s="154">
        <v>2444.0</v>
      </c>
      <c r="F350" s="152"/>
      <c r="G350" s="155"/>
      <c r="H350" s="153" t="s">
        <v>1210</v>
      </c>
      <c r="I350" s="153" t="s">
        <v>167</v>
      </c>
      <c r="J350" s="156">
        <v>347.0</v>
      </c>
      <c r="K350" s="157" t="s">
        <v>1211</v>
      </c>
      <c r="L350" s="158" t="s">
        <v>1212</v>
      </c>
      <c r="M350" s="158"/>
      <c r="N350" s="158"/>
      <c r="O350" s="158"/>
      <c r="P350" s="158"/>
      <c r="Q350" s="158"/>
      <c r="R350" s="158"/>
      <c r="S350" s="158"/>
      <c r="T350" s="158"/>
    </row>
    <row r="351">
      <c r="A351" s="152"/>
      <c r="B351" s="153"/>
      <c r="C351" s="152"/>
      <c r="D351" s="152"/>
      <c r="E351" s="154">
        <v>2445.0</v>
      </c>
      <c r="F351" s="152"/>
      <c r="G351" s="155"/>
      <c r="H351" s="153" t="s">
        <v>1213</v>
      </c>
      <c r="I351" s="153" t="s">
        <v>156</v>
      </c>
      <c r="J351" s="156">
        <v>348.0</v>
      </c>
      <c r="K351" s="157" t="s">
        <v>1214</v>
      </c>
      <c r="L351" s="158" t="s">
        <v>1215</v>
      </c>
      <c r="M351" s="158"/>
      <c r="N351" s="158"/>
      <c r="O351" s="158"/>
      <c r="P351" s="158"/>
      <c r="Q351" s="158"/>
      <c r="R351" s="158"/>
      <c r="S351" s="158"/>
      <c r="T351" s="158"/>
    </row>
    <row r="352">
      <c r="A352" s="152"/>
      <c r="B352" s="153"/>
      <c r="C352" s="152"/>
      <c r="D352" s="152"/>
      <c r="E352" s="154">
        <v>2446.0</v>
      </c>
      <c r="F352" s="152"/>
      <c r="G352" s="155"/>
      <c r="H352" s="153" t="s">
        <v>1216</v>
      </c>
      <c r="I352" s="153" t="s">
        <v>415</v>
      </c>
      <c r="J352" s="156">
        <v>349.0</v>
      </c>
      <c r="K352" s="157" t="s">
        <v>1217</v>
      </c>
      <c r="L352" s="158" t="s">
        <v>1218</v>
      </c>
      <c r="M352" s="158"/>
      <c r="N352" s="158"/>
      <c r="O352" s="158"/>
      <c r="P352" s="158"/>
      <c r="Q352" s="158"/>
      <c r="R352" s="158"/>
      <c r="S352" s="158"/>
      <c r="T352" s="158"/>
    </row>
    <row r="353">
      <c r="A353" s="152"/>
      <c r="B353" s="153"/>
      <c r="C353" s="152"/>
      <c r="D353" s="152"/>
      <c r="E353" s="154">
        <v>2451.0</v>
      </c>
      <c r="F353" s="152"/>
      <c r="G353" s="155"/>
      <c r="H353" s="153" t="s">
        <v>1219</v>
      </c>
      <c r="I353" s="153" t="s">
        <v>608</v>
      </c>
      <c r="J353" s="156">
        <v>350.0</v>
      </c>
      <c r="K353" s="157" t="s">
        <v>1220</v>
      </c>
      <c r="L353" s="158" t="s">
        <v>1221</v>
      </c>
      <c r="M353" s="158"/>
      <c r="N353" s="158"/>
      <c r="O353" s="158"/>
      <c r="P353" s="158"/>
      <c r="Q353" s="158"/>
      <c r="R353" s="158"/>
      <c r="S353" s="158"/>
      <c r="T353" s="158"/>
    </row>
    <row r="354">
      <c r="A354" s="152"/>
      <c r="B354" s="153"/>
      <c r="C354" s="152"/>
      <c r="D354" s="152"/>
      <c r="E354" s="154">
        <v>2452.0</v>
      </c>
      <c r="F354" s="152"/>
      <c r="G354" s="155"/>
      <c r="H354" s="153" t="s">
        <v>1222</v>
      </c>
      <c r="I354" s="153" t="s">
        <v>1084</v>
      </c>
      <c r="J354" s="156">
        <v>351.0</v>
      </c>
      <c r="K354" s="157" t="s">
        <v>1223</v>
      </c>
      <c r="L354" s="158" t="s">
        <v>1224</v>
      </c>
      <c r="M354" s="158"/>
      <c r="N354" s="158"/>
      <c r="O354" s="158"/>
      <c r="P354" s="158"/>
      <c r="Q354" s="158"/>
      <c r="R354" s="158"/>
      <c r="S354" s="158"/>
      <c r="T354" s="158"/>
    </row>
    <row r="355">
      <c r="A355" s="152"/>
      <c r="B355" s="153"/>
      <c r="C355" s="152"/>
      <c r="D355" s="152"/>
      <c r="E355" s="154">
        <v>2453.0</v>
      </c>
      <c r="F355" s="152"/>
      <c r="G355" s="155"/>
      <c r="H355" s="153" t="s">
        <v>1225</v>
      </c>
      <c r="I355" s="153" t="s">
        <v>463</v>
      </c>
      <c r="J355" s="156">
        <v>352.0</v>
      </c>
      <c r="K355" s="157" t="s">
        <v>1226</v>
      </c>
      <c r="L355" s="158" t="s">
        <v>1227</v>
      </c>
      <c r="M355" s="158"/>
      <c r="N355" s="158"/>
      <c r="O355" s="158"/>
      <c r="P355" s="158"/>
      <c r="Q355" s="158"/>
      <c r="R355" s="158"/>
      <c r="S355" s="158"/>
      <c r="T355" s="158"/>
    </row>
    <row r="356">
      <c r="A356" s="152"/>
      <c r="B356" s="153"/>
      <c r="C356" s="152"/>
      <c r="D356" s="152"/>
      <c r="E356" s="154">
        <v>2454.0</v>
      </c>
      <c r="F356" s="152"/>
      <c r="G356" s="155"/>
      <c r="H356" s="153" t="s">
        <v>1228</v>
      </c>
      <c r="I356" s="153" t="s">
        <v>1229</v>
      </c>
      <c r="J356" s="156">
        <v>353.0</v>
      </c>
      <c r="K356" s="157" t="s">
        <v>1230</v>
      </c>
      <c r="L356" s="158" t="s">
        <v>1231</v>
      </c>
      <c r="M356" s="158"/>
      <c r="N356" s="158"/>
      <c r="O356" s="158"/>
      <c r="P356" s="158"/>
      <c r="Q356" s="158"/>
      <c r="R356" s="158"/>
      <c r="S356" s="158"/>
      <c r="T356" s="158"/>
    </row>
    <row r="357">
      <c r="A357" s="152"/>
      <c r="B357" s="153"/>
      <c r="C357" s="152"/>
      <c r="D357" s="152"/>
      <c r="E357" s="154">
        <v>2455.0</v>
      </c>
      <c r="F357" s="152"/>
      <c r="G357" s="155"/>
      <c r="H357" s="153" t="s">
        <v>1232</v>
      </c>
      <c r="I357" s="153" t="s">
        <v>631</v>
      </c>
      <c r="J357" s="156">
        <v>354.0</v>
      </c>
      <c r="K357" s="157" t="s">
        <v>1233</v>
      </c>
      <c r="L357" s="158" t="s">
        <v>1234</v>
      </c>
      <c r="M357" s="158"/>
      <c r="N357" s="158"/>
      <c r="O357" s="158"/>
      <c r="P357" s="158"/>
      <c r="Q357" s="158"/>
      <c r="R357" s="158"/>
      <c r="S357" s="158"/>
      <c r="T357" s="158"/>
    </row>
    <row r="358">
      <c r="A358" s="152"/>
      <c r="B358" s="153"/>
      <c r="C358" s="152"/>
      <c r="D358" s="152"/>
      <c r="E358" s="154">
        <v>2456.0</v>
      </c>
      <c r="F358" s="152"/>
      <c r="G358" s="155"/>
      <c r="H358" s="153" t="s">
        <v>1235</v>
      </c>
      <c r="I358" s="153" t="s">
        <v>631</v>
      </c>
      <c r="J358" s="156">
        <v>355.0</v>
      </c>
      <c r="K358" s="157" t="s">
        <v>1236</v>
      </c>
      <c r="L358" s="158" t="s">
        <v>1237</v>
      </c>
      <c r="M358" s="158"/>
      <c r="N358" s="158"/>
      <c r="O358" s="158"/>
      <c r="P358" s="158"/>
      <c r="Q358" s="158"/>
      <c r="R358" s="158"/>
      <c r="S358" s="158"/>
      <c r="T358" s="158"/>
    </row>
    <row r="359">
      <c r="A359" s="152"/>
      <c r="B359" s="153"/>
      <c r="C359" s="152"/>
      <c r="D359" s="152"/>
      <c r="E359" s="154">
        <v>2461.0</v>
      </c>
      <c r="F359" s="152"/>
      <c r="G359" s="155"/>
      <c r="H359" s="153" t="s">
        <v>1238</v>
      </c>
      <c r="I359" s="153" t="s">
        <v>631</v>
      </c>
      <c r="J359" s="156">
        <v>356.0</v>
      </c>
      <c r="K359" s="157" t="s">
        <v>1239</v>
      </c>
      <c r="L359" s="158" t="s">
        <v>1240</v>
      </c>
      <c r="M359" s="158"/>
      <c r="N359" s="158"/>
      <c r="O359" s="158"/>
      <c r="P359" s="158"/>
      <c r="Q359" s="158"/>
      <c r="R359" s="158"/>
      <c r="S359" s="158"/>
      <c r="T359" s="158"/>
    </row>
    <row r="360">
      <c r="A360" s="152"/>
      <c r="B360" s="153"/>
      <c r="C360" s="152"/>
      <c r="D360" s="152"/>
      <c r="E360" s="154">
        <v>2462.0</v>
      </c>
      <c r="F360" s="152"/>
      <c r="G360" s="155"/>
      <c r="H360" s="153" t="s">
        <v>1241</v>
      </c>
      <c r="I360" s="153" t="s">
        <v>167</v>
      </c>
      <c r="J360" s="156">
        <v>357.0</v>
      </c>
      <c r="K360" s="157" t="s">
        <v>1242</v>
      </c>
      <c r="L360" s="158" t="s">
        <v>1243</v>
      </c>
      <c r="M360" s="158"/>
      <c r="N360" s="158"/>
      <c r="O360" s="158"/>
      <c r="P360" s="158"/>
      <c r="Q360" s="158"/>
      <c r="R360" s="158"/>
      <c r="S360" s="158"/>
      <c r="T360" s="158"/>
    </row>
    <row r="361">
      <c r="A361" s="152"/>
      <c r="B361" s="153"/>
      <c r="C361" s="152"/>
      <c r="D361" s="152"/>
      <c r="E361" s="154">
        <v>2463.0</v>
      </c>
      <c r="F361" s="152"/>
      <c r="G361" s="155"/>
      <c r="H361" s="153" t="s">
        <v>1244</v>
      </c>
      <c r="I361" s="153" t="s">
        <v>167</v>
      </c>
      <c r="J361" s="156">
        <v>358.0</v>
      </c>
      <c r="K361" s="157" t="s">
        <v>1245</v>
      </c>
      <c r="L361" s="158" t="s">
        <v>1246</v>
      </c>
      <c r="M361" s="158"/>
      <c r="N361" s="158"/>
      <c r="O361" s="158"/>
      <c r="P361" s="158"/>
      <c r="Q361" s="158"/>
      <c r="R361" s="158"/>
      <c r="S361" s="158"/>
      <c r="T361" s="158"/>
    </row>
    <row r="362">
      <c r="A362" s="152"/>
      <c r="B362" s="153"/>
      <c r="C362" s="152"/>
      <c r="D362" s="152"/>
      <c r="E362" s="154">
        <v>2464.0</v>
      </c>
      <c r="F362" s="152"/>
      <c r="G362" s="155"/>
      <c r="H362" s="153" t="s">
        <v>1247</v>
      </c>
      <c r="I362" s="153" t="s">
        <v>167</v>
      </c>
      <c r="J362" s="156">
        <v>359.0</v>
      </c>
      <c r="K362" s="157" t="s">
        <v>1248</v>
      </c>
      <c r="L362" s="158" t="s">
        <v>1249</v>
      </c>
      <c r="M362" s="158"/>
      <c r="N362" s="158"/>
      <c r="O362" s="158"/>
      <c r="P362" s="158"/>
      <c r="Q362" s="158"/>
      <c r="R362" s="158"/>
      <c r="S362" s="158"/>
      <c r="T362" s="158"/>
    </row>
    <row r="363">
      <c r="A363" s="152"/>
      <c r="B363" s="153"/>
      <c r="C363" s="152"/>
      <c r="D363" s="152"/>
      <c r="E363" s="154">
        <v>2465.0</v>
      </c>
      <c r="F363" s="152"/>
      <c r="G363" s="155"/>
      <c r="H363" s="153" t="s">
        <v>1250</v>
      </c>
      <c r="I363" s="153" t="s">
        <v>401</v>
      </c>
      <c r="J363" s="156">
        <v>360.0</v>
      </c>
      <c r="K363" s="157" t="s">
        <v>1251</v>
      </c>
      <c r="L363" s="158" t="s">
        <v>1252</v>
      </c>
      <c r="M363" s="158"/>
      <c r="N363" s="158"/>
      <c r="O363" s="158"/>
      <c r="P363" s="158"/>
      <c r="Q363" s="158"/>
      <c r="R363" s="158"/>
      <c r="S363" s="158"/>
      <c r="T363" s="158"/>
    </row>
    <row r="364">
      <c r="A364" s="152"/>
      <c r="B364" s="153"/>
      <c r="C364" s="152"/>
      <c r="D364" s="152"/>
      <c r="E364" s="154">
        <v>2466.0</v>
      </c>
      <c r="F364" s="152"/>
      <c r="G364" s="155"/>
      <c r="H364" s="153" t="s">
        <v>68</v>
      </c>
      <c r="I364" s="153" t="s">
        <v>401</v>
      </c>
      <c r="J364" s="156">
        <v>361.0</v>
      </c>
      <c r="K364" s="157" t="s">
        <v>1253</v>
      </c>
      <c r="L364" s="158" t="s">
        <v>1254</v>
      </c>
      <c r="M364" s="158"/>
      <c r="N364" s="158"/>
      <c r="O364" s="158"/>
      <c r="P364" s="158"/>
      <c r="Q364" s="158"/>
      <c r="R364" s="158"/>
      <c r="S364" s="158"/>
      <c r="T364" s="158"/>
    </row>
    <row r="365">
      <c r="A365" s="152"/>
      <c r="B365" s="153"/>
      <c r="C365" s="152"/>
      <c r="D365" s="152"/>
      <c r="E365" s="154">
        <v>2511.0</v>
      </c>
      <c r="F365" s="152"/>
      <c r="G365" s="155"/>
      <c r="H365" s="153" t="s">
        <v>1255</v>
      </c>
      <c r="I365" s="153" t="s">
        <v>1256</v>
      </c>
      <c r="J365" s="156">
        <v>362.0</v>
      </c>
      <c r="K365" s="157" t="s">
        <v>1257</v>
      </c>
      <c r="L365" s="158" t="s">
        <v>1258</v>
      </c>
      <c r="M365" s="158"/>
      <c r="N365" s="158"/>
      <c r="O365" s="158"/>
      <c r="P365" s="158"/>
      <c r="Q365" s="158"/>
      <c r="R365" s="158"/>
      <c r="S365" s="158"/>
      <c r="T365" s="158"/>
    </row>
    <row r="366">
      <c r="A366" s="152"/>
      <c r="B366" s="153"/>
      <c r="C366" s="152"/>
      <c r="D366" s="152"/>
      <c r="E366" s="154">
        <v>2512.0</v>
      </c>
      <c r="F366" s="152"/>
      <c r="G366" s="155"/>
      <c r="H366" s="153" t="s">
        <v>1259</v>
      </c>
      <c r="I366" s="153" t="s">
        <v>1084</v>
      </c>
      <c r="J366" s="156">
        <v>363.0</v>
      </c>
      <c r="K366" s="157" t="s">
        <v>1260</v>
      </c>
      <c r="L366" s="158" t="s">
        <v>1261</v>
      </c>
      <c r="M366" s="158"/>
      <c r="N366" s="158"/>
      <c r="O366" s="158"/>
      <c r="P366" s="158"/>
      <c r="Q366" s="158"/>
      <c r="R366" s="158"/>
      <c r="S366" s="158"/>
      <c r="T366" s="158"/>
    </row>
    <row r="367">
      <c r="A367" s="152"/>
      <c r="B367" s="153"/>
      <c r="C367" s="152"/>
      <c r="D367" s="152"/>
      <c r="E367" s="154">
        <v>2513.0</v>
      </c>
      <c r="F367" s="152"/>
      <c r="G367" s="155"/>
      <c r="H367" s="153" t="s">
        <v>1262</v>
      </c>
      <c r="I367" s="153" t="s">
        <v>608</v>
      </c>
      <c r="J367" s="156">
        <v>364.0</v>
      </c>
      <c r="K367" s="157" t="s">
        <v>1263</v>
      </c>
      <c r="L367" s="158" t="s">
        <v>1264</v>
      </c>
      <c r="M367" s="158"/>
      <c r="N367" s="158"/>
      <c r="O367" s="158"/>
      <c r="P367" s="158"/>
      <c r="Q367" s="158"/>
      <c r="R367" s="158"/>
      <c r="S367" s="158"/>
      <c r="T367" s="158"/>
    </row>
    <row r="368">
      <c r="A368" s="152"/>
      <c r="B368" s="153"/>
      <c r="C368" s="152"/>
      <c r="D368" s="152"/>
      <c r="E368" s="154">
        <v>2514.0</v>
      </c>
      <c r="F368" s="152"/>
      <c r="G368" s="155"/>
      <c r="H368" s="153" t="s">
        <v>1265</v>
      </c>
      <c r="I368" s="153" t="s">
        <v>1084</v>
      </c>
      <c r="J368" s="156">
        <v>365.0</v>
      </c>
      <c r="K368" s="157" t="s">
        <v>1266</v>
      </c>
      <c r="L368" s="158" t="s">
        <v>1267</v>
      </c>
      <c r="M368" s="158"/>
      <c r="N368" s="158"/>
      <c r="O368" s="158"/>
      <c r="P368" s="158"/>
      <c r="Q368" s="158"/>
      <c r="R368" s="158"/>
      <c r="S368" s="158"/>
      <c r="T368" s="158"/>
    </row>
    <row r="369">
      <c r="A369" s="152"/>
      <c r="B369" s="153"/>
      <c r="C369" s="152"/>
      <c r="D369" s="152"/>
      <c r="E369" s="154">
        <v>2515.0</v>
      </c>
      <c r="F369" s="152"/>
      <c r="G369" s="155"/>
      <c r="H369" s="153" t="s">
        <v>1268</v>
      </c>
      <c r="I369" s="153" t="s">
        <v>631</v>
      </c>
      <c r="J369" s="156">
        <v>366.0</v>
      </c>
      <c r="K369" s="157" t="s">
        <v>1269</v>
      </c>
      <c r="L369" s="158" t="s">
        <v>1270</v>
      </c>
      <c r="M369" s="158"/>
      <c r="N369" s="158"/>
      <c r="O369" s="158"/>
      <c r="P369" s="158"/>
      <c r="Q369" s="158"/>
      <c r="R369" s="158"/>
      <c r="S369" s="158"/>
      <c r="T369" s="158"/>
    </row>
    <row r="370">
      <c r="A370" s="152"/>
      <c r="B370" s="153"/>
      <c r="C370" s="152"/>
      <c r="D370" s="152"/>
      <c r="E370" s="154">
        <v>2516.0</v>
      </c>
      <c r="F370" s="152"/>
      <c r="G370" s="155"/>
      <c r="H370" s="153" t="s">
        <v>1271</v>
      </c>
      <c r="I370" s="153" t="s">
        <v>188</v>
      </c>
      <c r="J370" s="156">
        <v>367.0</v>
      </c>
      <c r="K370" s="157" t="s">
        <v>1272</v>
      </c>
      <c r="L370" s="158" t="s">
        <v>1273</v>
      </c>
      <c r="M370" s="158"/>
      <c r="N370" s="158"/>
      <c r="O370" s="158"/>
      <c r="P370" s="158"/>
      <c r="Q370" s="158"/>
      <c r="R370" s="158"/>
      <c r="S370" s="158"/>
      <c r="T370" s="158"/>
    </row>
    <row r="371">
      <c r="A371" s="152"/>
      <c r="B371" s="153"/>
      <c r="C371" s="152"/>
      <c r="D371" s="152"/>
      <c r="E371" s="154">
        <v>2521.0</v>
      </c>
      <c r="F371" s="152"/>
      <c r="G371" s="155"/>
      <c r="H371" s="153" t="s">
        <v>1274</v>
      </c>
      <c r="I371" s="153" t="s">
        <v>167</v>
      </c>
      <c r="J371" s="156">
        <v>368.0</v>
      </c>
      <c r="K371" s="157" t="s">
        <v>1275</v>
      </c>
      <c r="L371" s="158" t="s">
        <v>1276</v>
      </c>
      <c r="M371" s="158"/>
      <c r="N371" s="158"/>
      <c r="O371" s="158"/>
      <c r="P371" s="158"/>
      <c r="Q371" s="158"/>
      <c r="R371" s="158"/>
      <c r="S371" s="158"/>
      <c r="T371" s="158"/>
    </row>
    <row r="372">
      <c r="A372" s="152"/>
      <c r="B372" s="153"/>
      <c r="C372" s="152"/>
      <c r="D372" s="152"/>
      <c r="E372" s="154">
        <v>2522.0</v>
      </c>
      <c r="F372" s="152"/>
      <c r="G372" s="155"/>
      <c r="H372" s="153" t="s">
        <v>1277</v>
      </c>
      <c r="I372" s="153" t="s">
        <v>167</v>
      </c>
      <c r="J372" s="156">
        <v>369.0</v>
      </c>
      <c r="K372" s="157" t="s">
        <v>1278</v>
      </c>
      <c r="L372" s="158" t="s">
        <v>1279</v>
      </c>
      <c r="M372" s="158"/>
      <c r="N372" s="158"/>
      <c r="O372" s="158"/>
      <c r="P372" s="158"/>
      <c r="Q372" s="158"/>
      <c r="R372" s="158"/>
      <c r="S372" s="158"/>
      <c r="T372" s="158"/>
    </row>
    <row r="373">
      <c r="A373" s="152"/>
      <c r="B373" s="153"/>
      <c r="C373" s="152"/>
      <c r="D373" s="152"/>
      <c r="E373" s="154">
        <v>2523.0</v>
      </c>
      <c r="F373" s="152"/>
      <c r="G373" s="155"/>
      <c r="H373" s="153" t="s">
        <v>1280</v>
      </c>
      <c r="I373" s="153" t="s">
        <v>167</v>
      </c>
      <c r="J373" s="156">
        <v>370.0</v>
      </c>
      <c r="K373" s="157" t="s">
        <v>1281</v>
      </c>
      <c r="L373" s="158" t="s">
        <v>1282</v>
      </c>
      <c r="M373" s="158"/>
      <c r="N373" s="158"/>
      <c r="O373" s="158"/>
      <c r="P373" s="158"/>
      <c r="Q373" s="158"/>
      <c r="R373" s="158"/>
      <c r="S373" s="158"/>
      <c r="T373" s="158"/>
    </row>
    <row r="374">
      <c r="A374" s="152"/>
      <c r="B374" s="153"/>
      <c r="C374" s="152"/>
      <c r="D374" s="152"/>
      <c r="E374" s="154">
        <v>2524.0</v>
      </c>
      <c r="F374" s="152"/>
      <c r="G374" s="155"/>
      <c r="H374" s="153" t="s">
        <v>1283</v>
      </c>
      <c r="I374" s="153" t="s">
        <v>156</v>
      </c>
      <c r="J374" s="156">
        <v>371.0</v>
      </c>
      <c r="K374" s="157" t="s">
        <v>1284</v>
      </c>
      <c r="L374" s="158" t="s">
        <v>1285</v>
      </c>
      <c r="M374" s="158"/>
      <c r="N374" s="158"/>
      <c r="O374" s="158"/>
      <c r="P374" s="158"/>
      <c r="Q374" s="158"/>
      <c r="R374" s="158"/>
      <c r="S374" s="158"/>
      <c r="T374" s="158"/>
    </row>
    <row r="375">
      <c r="A375" s="152"/>
      <c r="B375" s="153"/>
      <c r="C375" s="152"/>
      <c r="D375" s="152"/>
      <c r="E375" s="154">
        <v>2525.0</v>
      </c>
      <c r="F375" s="152"/>
      <c r="G375" s="155"/>
      <c r="H375" s="153" t="s">
        <v>1286</v>
      </c>
      <c r="I375" s="153" t="s">
        <v>188</v>
      </c>
      <c r="J375" s="156">
        <v>372.0</v>
      </c>
      <c r="K375" s="157" t="s">
        <v>1287</v>
      </c>
      <c r="L375" s="158" t="s">
        <v>1288</v>
      </c>
      <c r="M375" s="158"/>
      <c r="N375" s="158"/>
      <c r="O375" s="158"/>
      <c r="P375" s="158"/>
      <c r="Q375" s="158"/>
      <c r="R375" s="158"/>
      <c r="S375" s="158"/>
      <c r="T375" s="158"/>
    </row>
    <row r="376">
      <c r="A376" s="152"/>
      <c r="B376" s="153"/>
      <c r="C376" s="152"/>
      <c r="D376" s="152"/>
      <c r="E376" s="154">
        <v>2526.0</v>
      </c>
      <c r="F376" s="152"/>
      <c r="G376" s="155"/>
      <c r="H376" s="153" t="s">
        <v>1289</v>
      </c>
      <c r="I376" s="153" t="s">
        <v>230</v>
      </c>
      <c r="J376" s="156">
        <v>373.0</v>
      </c>
      <c r="K376" s="157" t="s">
        <v>1290</v>
      </c>
      <c r="L376" s="158" t="s">
        <v>1291</v>
      </c>
      <c r="M376" s="158"/>
      <c r="N376" s="158"/>
      <c r="O376" s="158"/>
      <c r="P376" s="158"/>
      <c r="Q376" s="158"/>
      <c r="R376" s="158"/>
      <c r="S376" s="158"/>
      <c r="T376" s="158"/>
    </row>
    <row r="377">
      <c r="A377" s="152"/>
      <c r="B377" s="153"/>
      <c r="C377" s="152"/>
      <c r="D377" s="152"/>
      <c r="E377" s="154">
        <v>2531.0</v>
      </c>
      <c r="F377" s="152"/>
      <c r="G377" s="155"/>
      <c r="H377" s="153" t="s">
        <v>1292</v>
      </c>
      <c r="I377" s="153" t="s">
        <v>661</v>
      </c>
      <c r="J377" s="156">
        <v>374.0</v>
      </c>
      <c r="K377" s="157" t="s">
        <v>1293</v>
      </c>
      <c r="L377" s="158" t="s">
        <v>1294</v>
      </c>
      <c r="M377" s="158"/>
      <c r="N377" s="158"/>
      <c r="O377" s="158"/>
      <c r="P377" s="158"/>
      <c r="Q377" s="158"/>
      <c r="R377" s="158"/>
      <c r="S377" s="158"/>
      <c r="T377" s="158"/>
    </row>
    <row r="378">
      <c r="A378" s="152"/>
      <c r="B378" s="153"/>
      <c r="C378" s="152"/>
      <c r="D378" s="152"/>
      <c r="E378" s="154">
        <v>2532.0</v>
      </c>
      <c r="F378" s="152"/>
      <c r="G378" s="155"/>
      <c r="H378" s="153" t="s">
        <v>1295</v>
      </c>
      <c r="I378" s="153" t="s">
        <v>661</v>
      </c>
      <c r="J378" s="156">
        <v>375.0</v>
      </c>
      <c r="K378" s="157" t="s">
        <v>1296</v>
      </c>
      <c r="L378" s="158" t="s">
        <v>1297</v>
      </c>
      <c r="M378" s="158"/>
      <c r="N378" s="158"/>
      <c r="O378" s="158"/>
      <c r="P378" s="158"/>
      <c r="Q378" s="158"/>
      <c r="R378" s="158"/>
      <c r="S378" s="158"/>
      <c r="T378" s="158"/>
    </row>
    <row r="379">
      <c r="A379" s="152"/>
      <c r="B379" s="153"/>
      <c r="C379" s="152"/>
      <c r="D379" s="152"/>
      <c r="E379" s="154">
        <v>2533.0</v>
      </c>
      <c r="F379" s="152"/>
      <c r="G379" s="155"/>
      <c r="H379" s="153" t="s">
        <v>1298</v>
      </c>
      <c r="I379" s="153" t="s">
        <v>401</v>
      </c>
      <c r="J379" s="156">
        <v>376.0</v>
      </c>
      <c r="K379" s="157" t="s">
        <v>1299</v>
      </c>
      <c r="L379" s="158" t="s">
        <v>1300</v>
      </c>
      <c r="M379" s="158"/>
      <c r="N379" s="158"/>
      <c r="O379" s="158"/>
      <c r="P379" s="158"/>
      <c r="Q379" s="158"/>
      <c r="R379" s="158"/>
      <c r="S379" s="158"/>
      <c r="T379" s="158"/>
    </row>
    <row r="380">
      <c r="A380" s="152"/>
      <c r="B380" s="153"/>
      <c r="C380" s="152"/>
      <c r="D380" s="152"/>
      <c r="E380" s="154">
        <v>2534.0</v>
      </c>
      <c r="F380" s="152"/>
      <c r="G380" s="155"/>
      <c r="H380" s="153" t="s">
        <v>1301</v>
      </c>
      <c r="I380" s="153" t="s">
        <v>156</v>
      </c>
      <c r="J380" s="156">
        <v>377.0</v>
      </c>
      <c r="K380" s="157" t="s">
        <v>1302</v>
      </c>
      <c r="L380" s="158" t="s">
        <v>1303</v>
      </c>
      <c r="M380" s="158"/>
      <c r="N380" s="158"/>
      <c r="O380" s="158"/>
      <c r="P380" s="158"/>
      <c r="Q380" s="158"/>
      <c r="R380" s="158"/>
      <c r="S380" s="158"/>
      <c r="T380" s="158"/>
    </row>
    <row r="381">
      <c r="A381" s="152"/>
      <c r="B381" s="153"/>
      <c r="C381" s="152"/>
      <c r="D381" s="152"/>
      <c r="E381" s="154">
        <v>2535.0</v>
      </c>
      <c r="F381" s="152"/>
      <c r="G381" s="155"/>
      <c r="H381" s="153" t="s">
        <v>1304</v>
      </c>
      <c r="I381" s="153" t="s">
        <v>156</v>
      </c>
      <c r="J381" s="156">
        <v>378.0</v>
      </c>
      <c r="K381" s="157" t="s">
        <v>1305</v>
      </c>
      <c r="L381" s="158" t="s">
        <v>1306</v>
      </c>
      <c r="M381" s="158"/>
      <c r="N381" s="158"/>
      <c r="O381" s="158"/>
      <c r="P381" s="158"/>
      <c r="Q381" s="158"/>
      <c r="R381" s="158"/>
      <c r="S381" s="158"/>
      <c r="T381" s="158"/>
    </row>
    <row r="382">
      <c r="A382" s="152"/>
      <c r="B382" s="153"/>
      <c r="C382" s="152"/>
      <c r="D382" s="152"/>
      <c r="E382" s="154">
        <v>2536.0</v>
      </c>
      <c r="F382" s="152"/>
      <c r="G382" s="155"/>
      <c r="H382" s="153" t="s">
        <v>1307</v>
      </c>
      <c r="I382" s="153" t="s">
        <v>246</v>
      </c>
      <c r="J382" s="156">
        <v>379.0</v>
      </c>
      <c r="K382" s="157" t="s">
        <v>1308</v>
      </c>
      <c r="L382" s="158" t="s">
        <v>1309</v>
      </c>
      <c r="M382" s="158"/>
      <c r="N382" s="158"/>
      <c r="O382" s="158"/>
      <c r="P382" s="158"/>
      <c r="Q382" s="158"/>
      <c r="R382" s="158"/>
      <c r="S382" s="158"/>
      <c r="T382" s="158"/>
    </row>
    <row r="383">
      <c r="A383" s="152"/>
      <c r="B383" s="153"/>
      <c r="C383" s="152"/>
      <c r="D383" s="152"/>
      <c r="E383" s="154">
        <v>2541.0</v>
      </c>
      <c r="F383" s="152"/>
      <c r="G383" s="155"/>
      <c r="H383" s="153" t="s">
        <v>1310</v>
      </c>
      <c r="I383" s="153" t="s">
        <v>167</v>
      </c>
      <c r="J383" s="156">
        <v>380.0</v>
      </c>
      <c r="K383" s="157" t="s">
        <v>1311</v>
      </c>
      <c r="L383" s="158" t="s">
        <v>1312</v>
      </c>
      <c r="M383" s="158"/>
      <c r="N383" s="158"/>
      <c r="O383" s="158"/>
      <c r="P383" s="158"/>
      <c r="Q383" s="158"/>
      <c r="R383" s="158"/>
      <c r="S383" s="158"/>
      <c r="T383" s="158"/>
    </row>
    <row r="384">
      <c r="A384" s="152"/>
      <c r="B384" s="153"/>
      <c r="C384" s="152"/>
      <c r="D384" s="152"/>
      <c r="E384" s="154">
        <v>2542.0</v>
      </c>
      <c r="F384" s="152"/>
      <c r="G384" s="155"/>
      <c r="H384" s="153" t="s">
        <v>1313</v>
      </c>
      <c r="I384" s="153" t="s">
        <v>415</v>
      </c>
      <c r="J384" s="156">
        <v>381.0</v>
      </c>
      <c r="K384" s="157" t="s">
        <v>1311</v>
      </c>
      <c r="L384" s="158" t="s">
        <v>1314</v>
      </c>
      <c r="M384" s="158"/>
      <c r="N384" s="158"/>
      <c r="O384" s="158"/>
      <c r="P384" s="158"/>
      <c r="Q384" s="158"/>
      <c r="R384" s="158"/>
      <c r="S384" s="158"/>
      <c r="T384" s="158"/>
    </row>
    <row r="385">
      <c r="A385" s="152"/>
      <c r="B385" s="153"/>
      <c r="C385" s="152"/>
      <c r="D385" s="152"/>
      <c r="E385" s="154">
        <v>2543.0</v>
      </c>
      <c r="F385" s="152"/>
      <c r="G385" s="155"/>
      <c r="H385" s="153" t="s">
        <v>1315</v>
      </c>
      <c r="I385" s="153" t="s">
        <v>230</v>
      </c>
      <c r="J385" s="156">
        <v>382.0</v>
      </c>
      <c r="K385" s="157" t="s">
        <v>1316</v>
      </c>
      <c r="L385" s="158" t="s">
        <v>1317</v>
      </c>
      <c r="M385" s="158"/>
      <c r="N385" s="158"/>
      <c r="O385" s="158"/>
      <c r="P385" s="158"/>
      <c r="Q385" s="158"/>
      <c r="R385" s="158"/>
      <c r="S385" s="158"/>
      <c r="T385" s="158"/>
    </row>
    <row r="386">
      <c r="A386" s="152"/>
      <c r="B386" s="153"/>
      <c r="C386" s="152"/>
      <c r="D386" s="152"/>
      <c r="E386" s="154">
        <v>2544.0</v>
      </c>
      <c r="F386" s="152"/>
      <c r="G386" s="155"/>
      <c r="H386" s="153" t="s">
        <v>1318</v>
      </c>
      <c r="I386" s="153" t="s">
        <v>401</v>
      </c>
      <c r="J386" s="156">
        <v>383.0</v>
      </c>
      <c r="K386" s="157" t="s">
        <v>1319</v>
      </c>
      <c r="L386" s="158" t="s">
        <v>1320</v>
      </c>
      <c r="M386" s="158"/>
      <c r="N386" s="158"/>
      <c r="O386" s="158"/>
      <c r="P386" s="158"/>
      <c r="Q386" s="158"/>
      <c r="R386" s="158"/>
      <c r="S386" s="158"/>
      <c r="T386" s="158"/>
    </row>
    <row r="387">
      <c r="A387" s="152"/>
      <c r="B387" s="153"/>
      <c r="C387" s="152"/>
      <c r="D387" s="152"/>
      <c r="E387" s="154">
        <v>2545.0</v>
      </c>
      <c r="F387" s="152"/>
      <c r="G387" s="155"/>
      <c r="H387" s="153" t="s">
        <v>1321</v>
      </c>
      <c r="I387" s="153" t="s">
        <v>167</v>
      </c>
      <c r="J387" s="156">
        <v>384.0</v>
      </c>
      <c r="K387" s="157" t="s">
        <v>1322</v>
      </c>
      <c r="L387" s="158" t="s">
        <v>1323</v>
      </c>
      <c r="M387" s="158"/>
      <c r="N387" s="158"/>
      <c r="O387" s="158"/>
      <c r="P387" s="158"/>
      <c r="Q387" s="158"/>
      <c r="R387" s="158"/>
      <c r="S387" s="158"/>
      <c r="T387" s="158"/>
    </row>
    <row r="388">
      <c r="A388" s="152"/>
      <c r="B388" s="153"/>
      <c r="C388" s="152"/>
      <c r="D388" s="152"/>
      <c r="E388" s="154">
        <v>2546.0</v>
      </c>
      <c r="F388" s="152"/>
      <c r="G388" s="155"/>
      <c r="H388" s="153" t="s">
        <v>1324</v>
      </c>
      <c r="I388" s="153" t="s">
        <v>188</v>
      </c>
      <c r="J388" s="156">
        <v>385.0</v>
      </c>
      <c r="K388" s="157" t="s">
        <v>1325</v>
      </c>
      <c r="L388" s="153" t="s">
        <v>1326</v>
      </c>
      <c r="M388" s="153"/>
      <c r="N388" s="153"/>
      <c r="O388" s="153"/>
      <c r="P388" s="153"/>
      <c r="Q388" s="153"/>
      <c r="R388" s="153"/>
      <c r="S388" s="153"/>
      <c r="T388" s="153"/>
    </row>
    <row r="389">
      <c r="A389" s="152"/>
      <c r="B389" s="153"/>
      <c r="C389" s="152"/>
      <c r="D389" s="152"/>
      <c r="E389" s="154">
        <v>2551.0</v>
      </c>
      <c r="F389" s="152"/>
      <c r="G389" s="155"/>
      <c r="H389" s="153" t="s">
        <v>1327</v>
      </c>
      <c r="I389" s="153" t="s">
        <v>509</v>
      </c>
      <c r="J389" s="156">
        <v>386.0</v>
      </c>
      <c r="K389" s="157" t="s">
        <v>1328</v>
      </c>
      <c r="L389" s="158" t="s">
        <v>1329</v>
      </c>
      <c r="M389" s="158"/>
      <c r="N389" s="158"/>
      <c r="O389" s="158"/>
      <c r="P389" s="158"/>
      <c r="Q389" s="158"/>
      <c r="R389" s="158"/>
      <c r="S389" s="158"/>
      <c r="T389" s="158"/>
    </row>
    <row r="390">
      <c r="A390" s="152"/>
      <c r="B390" s="153"/>
      <c r="C390" s="152"/>
      <c r="D390" s="152"/>
      <c r="E390" s="154">
        <v>2552.0</v>
      </c>
      <c r="F390" s="152"/>
      <c r="G390" s="155"/>
      <c r="H390" s="153" t="s">
        <v>1330</v>
      </c>
      <c r="I390" s="153" t="s">
        <v>608</v>
      </c>
      <c r="J390" s="156">
        <v>387.0</v>
      </c>
      <c r="K390" s="157" t="s">
        <v>1331</v>
      </c>
      <c r="L390" s="158" t="s">
        <v>1332</v>
      </c>
      <c r="M390" s="158"/>
      <c r="N390" s="158"/>
      <c r="O390" s="158"/>
      <c r="P390" s="158"/>
      <c r="Q390" s="158"/>
      <c r="R390" s="158"/>
      <c r="S390" s="158"/>
      <c r="T390" s="158"/>
    </row>
    <row r="391">
      <c r="A391" s="152"/>
      <c r="B391" s="153"/>
      <c r="C391" s="152"/>
      <c r="D391" s="152"/>
      <c r="E391" s="154">
        <v>2553.0</v>
      </c>
      <c r="F391" s="152"/>
      <c r="G391" s="155"/>
      <c r="H391" s="153" t="s">
        <v>1333</v>
      </c>
      <c r="I391" s="153" t="s">
        <v>156</v>
      </c>
      <c r="J391" s="156">
        <v>388.0</v>
      </c>
      <c r="K391" s="157" t="s">
        <v>1334</v>
      </c>
      <c r="L391" s="153" t="s">
        <v>1335</v>
      </c>
      <c r="M391" s="153"/>
      <c r="N391" s="153"/>
      <c r="O391" s="153"/>
      <c r="P391" s="153"/>
      <c r="Q391" s="153"/>
      <c r="R391" s="153"/>
      <c r="S391" s="153"/>
      <c r="T391" s="153"/>
    </row>
    <row r="392">
      <c r="A392" s="152"/>
      <c r="B392" s="153"/>
      <c r="C392" s="152"/>
      <c r="D392" s="152"/>
      <c r="E392" s="154">
        <v>2554.0</v>
      </c>
      <c r="F392" s="152"/>
      <c r="G392" s="155"/>
      <c r="H392" s="153" t="s">
        <v>1336</v>
      </c>
      <c r="I392" s="153" t="s">
        <v>463</v>
      </c>
      <c r="J392" s="156">
        <v>389.0</v>
      </c>
      <c r="K392" s="157" t="s">
        <v>1337</v>
      </c>
      <c r="L392" s="158" t="s">
        <v>1338</v>
      </c>
      <c r="M392" s="158"/>
      <c r="N392" s="158"/>
      <c r="O392" s="158"/>
      <c r="P392" s="158"/>
      <c r="Q392" s="158"/>
      <c r="R392" s="158"/>
      <c r="S392" s="158"/>
      <c r="T392" s="158"/>
    </row>
    <row r="393">
      <c r="A393" s="152"/>
      <c r="B393" s="153"/>
      <c r="C393" s="152"/>
      <c r="D393" s="152"/>
      <c r="E393" s="154">
        <v>2555.0</v>
      </c>
      <c r="F393" s="152"/>
      <c r="G393" s="155"/>
      <c r="H393" s="153" t="s">
        <v>1339</v>
      </c>
      <c r="I393" s="153" t="s">
        <v>463</v>
      </c>
      <c r="J393" s="156">
        <v>390.0</v>
      </c>
      <c r="K393" s="157" t="s">
        <v>1340</v>
      </c>
      <c r="L393" s="158" t="s">
        <v>1341</v>
      </c>
      <c r="M393" s="158"/>
      <c r="N393" s="158"/>
      <c r="O393" s="158"/>
      <c r="P393" s="158"/>
      <c r="Q393" s="158"/>
      <c r="R393" s="158"/>
      <c r="S393" s="158"/>
      <c r="T393" s="158"/>
    </row>
    <row r="394">
      <c r="A394" s="152"/>
      <c r="B394" s="153"/>
      <c r="C394" s="152"/>
      <c r="D394" s="152"/>
      <c r="E394" s="154">
        <v>2556.0</v>
      </c>
      <c r="F394" s="152"/>
      <c r="G394" s="155"/>
      <c r="H394" s="153" t="s">
        <v>1342</v>
      </c>
      <c r="I394" s="153" t="s">
        <v>167</v>
      </c>
      <c r="J394" s="156">
        <v>391.0</v>
      </c>
      <c r="K394" s="157" t="s">
        <v>1343</v>
      </c>
      <c r="L394" s="158" t="s">
        <v>1344</v>
      </c>
      <c r="M394" s="158"/>
      <c r="N394" s="158"/>
      <c r="O394" s="158"/>
      <c r="P394" s="158"/>
      <c r="Q394" s="158"/>
      <c r="R394" s="158"/>
      <c r="S394" s="158"/>
      <c r="T394" s="158"/>
    </row>
    <row r="395">
      <c r="A395" s="152"/>
      <c r="B395" s="153"/>
      <c r="C395" s="152"/>
      <c r="D395" s="152"/>
      <c r="E395" s="154">
        <v>2561.0</v>
      </c>
      <c r="F395" s="152"/>
      <c r="G395" s="155"/>
      <c r="H395" s="153" t="s">
        <v>1345</v>
      </c>
      <c r="I395" s="153" t="s">
        <v>156</v>
      </c>
      <c r="J395" s="156">
        <v>392.0</v>
      </c>
      <c r="K395" s="157" t="s">
        <v>1346</v>
      </c>
      <c r="L395" s="158" t="s">
        <v>1347</v>
      </c>
      <c r="M395" s="158"/>
      <c r="N395" s="158"/>
      <c r="O395" s="158"/>
      <c r="P395" s="158"/>
      <c r="Q395" s="158"/>
      <c r="R395" s="158"/>
      <c r="S395" s="158"/>
      <c r="T395" s="158"/>
    </row>
    <row r="396">
      <c r="A396" s="152"/>
      <c r="B396" s="153"/>
      <c r="C396" s="152"/>
      <c r="D396" s="152"/>
      <c r="E396" s="154">
        <v>2562.0</v>
      </c>
      <c r="F396" s="152"/>
      <c r="G396" s="155"/>
      <c r="H396" s="153" t="s">
        <v>1348</v>
      </c>
      <c r="I396" s="153" t="s">
        <v>156</v>
      </c>
      <c r="J396" s="156">
        <v>393.0</v>
      </c>
      <c r="K396" s="157" t="s">
        <v>1349</v>
      </c>
      <c r="L396" s="158" t="s">
        <v>1350</v>
      </c>
      <c r="M396" s="158"/>
      <c r="N396" s="158"/>
      <c r="O396" s="158"/>
      <c r="P396" s="158"/>
      <c r="Q396" s="158"/>
      <c r="R396" s="158"/>
      <c r="S396" s="158"/>
      <c r="T396" s="158"/>
    </row>
    <row r="397">
      <c r="A397" s="152"/>
      <c r="B397" s="153"/>
      <c r="C397" s="152"/>
      <c r="D397" s="152"/>
      <c r="E397" s="154">
        <v>2563.0</v>
      </c>
      <c r="F397" s="152"/>
      <c r="G397" s="155"/>
      <c r="H397" s="153" t="s">
        <v>1351</v>
      </c>
      <c r="I397" s="153" t="s">
        <v>621</v>
      </c>
      <c r="J397" s="156">
        <v>394.0</v>
      </c>
      <c r="K397" s="157" t="s">
        <v>1352</v>
      </c>
      <c r="L397" s="153" t="s">
        <v>1353</v>
      </c>
      <c r="M397" s="153"/>
      <c r="N397" s="153"/>
      <c r="O397" s="153"/>
      <c r="P397" s="153"/>
      <c r="Q397" s="153"/>
      <c r="R397" s="153"/>
      <c r="S397" s="153"/>
      <c r="T397" s="153"/>
    </row>
    <row r="398">
      <c r="A398" s="152"/>
      <c r="B398" s="153"/>
      <c r="C398" s="152"/>
      <c r="D398" s="152"/>
      <c r="E398" s="154">
        <v>2564.0</v>
      </c>
      <c r="F398" s="152"/>
      <c r="G398" s="155"/>
      <c r="H398" s="153" t="s">
        <v>1354</v>
      </c>
      <c r="I398" s="153" t="s">
        <v>631</v>
      </c>
      <c r="J398" s="156">
        <v>395.0</v>
      </c>
      <c r="K398" s="157" t="s">
        <v>1352</v>
      </c>
      <c r="L398" s="158" t="s">
        <v>1355</v>
      </c>
      <c r="M398" s="158"/>
      <c r="N398" s="158"/>
      <c r="O398" s="158"/>
      <c r="P398" s="158"/>
      <c r="Q398" s="158"/>
      <c r="R398" s="158"/>
      <c r="S398" s="158"/>
      <c r="T398" s="158"/>
    </row>
    <row r="399">
      <c r="A399" s="152"/>
      <c r="B399" s="153"/>
      <c r="C399" s="152"/>
      <c r="D399" s="152"/>
      <c r="E399" s="154">
        <v>2565.0</v>
      </c>
      <c r="F399" s="152"/>
      <c r="G399" s="155"/>
      <c r="H399" s="153" t="s">
        <v>1356</v>
      </c>
      <c r="I399" s="153" t="s">
        <v>167</v>
      </c>
      <c r="J399" s="156">
        <v>396.0</v>
      </c>
      <c r="K399" s="157" t="s">
        <v>1357</v>
      </c>
      <c r="L399" s="158" t="s">
        <v>1358</v>
      </c>
      <c r="M399" s="158"/>
      <c r="N399" s="158"/>
      <c r="O399" s="158"/>
      <c r="P399" s="158"/>
      <c r="Q399" s="158"/>
      <c r="R399" s="158"/>
      <c r="S399" s="158"/>
      <c r="T399" s="158"/>
    </row>
    <row r="400">
      <c r="A400" s="152"/>
      <c r="B400" s="153"/>
      <c r="C400" s="152"/>
      <c r="D400" s="152"/>
      <c r="E400" s="154">
        <v>2566.0</v>
      </c>
      <c r="F400" s="152"/>
      <c r="G400" s="155"/>
      <c r="H400" s="153" t="s">
        <v>1359</v>
      </c>
      <c r="I400" s="153" t="s">
        <v>1054</v>
      </c>
      <c r="J400" s="156">
        <v>397.0</v>
      </c>
      <c r="K400" s="157" t="s">
        <v>1360</v>
      </c>
      <c r="L400" s="158" t="s">
        <v>1361</v>
      </c>
      <c r="M400" s="158"/>
      <c r="N400" s="158"/>
      <c r="O400" s="158"/>
      <c r="P400" s="158"/>
      <c r="Q400" s="158"/>
      <c r="R400" s="158"/>
      <c r="S400" s="158"/>
      <c r="T400" s="158"/>
    </row>
    <row r="401">
      <c r="A401" s="152"/>
      <c r="B401" s="153"/>
      <c r="C401" s="152"/>
      <c r="D401" s="152"/>
      <c r="E401" s="154">
        <v>2611.0</v>
      </c>
      <c r="F401" s="152"/>
      <c r="G401" s="155"/>
      <c r="H401" s="153" t="s">
        <v>1362</v>
      </c>
      <c r="I401" s="153" t="s">
        <v>1054</v>
      </c>
      <c r="J401" s="156">
        <v>398.0</v>
      </c>
      <c r="K401" s="157" t="s">
        <v>1363</v>
      </c>
      <c r="L401" s="158" t="s">
        <v>1364</v>
      </c>
      <c r="M401" s="158"/>
      <c r="N401" s="158"/>
      <c r="O401" s="158"/>
      <c r="P401" s="158"/>
      <c r="Q401" s="158"/>
      <c r="R401" s="158"/>
      <c r="S401" s="158"/>
      <c r="T401" s="158"/>
    </row>
    <row r="402">
      <c r="A402" s="152"/>
      <c r="B402" s="153"/>
      <c r="C402" s="152"/>
      <c r="D402" s="152"/>
      <c r="E402" s="154">
        <v>2612.0</v>
      </c>
      <c r="F402" s="152"/>
      <c r="G402" s="155"/>
      <c r="H402" s="153" t="s">
        <v>1365</v>
      </c>
      <c r="I402" s="153" t="s">
        <v>1029</v>
      </c>
      <c r="J402" s="156">
        <v>399.0</v>
      </c>
      <c r="K402" s="157" t="s">
        <v>1366</v>
      </c>
      <c r="L402" s="158" t="s">
        <v>1367</v>
      </c>
      <c r="M402" s="158"/>
      <c r="N402" s="158"/>
      <c r="O402" s="158"/>
      <c r="P402" s="158"/>
      <c r="Q402" s="158"/>
      <c r="R402" s="158"/>
      <c r="S402" s="158"/>
      <c r="T402" s="158"/>
    </row>
    <row r="403">
      <c r="A403" s="152"/>
      <c r="B403" s="153"/>
      <c r="C403" s="152"/>
      <c r="D403" s="152"/>
      <c r="E403" s="154">
        <v>2613.0</v>
      </c>
      <c r="F403" s="152"/>
      <c r="G403" s="155"/>
      <c r="H403" s="153" t="s">
        <v>1368</v>
      </c>
      <c r="I403" s="153" t="s">
        <v>453</v>
      </c>
      <c r="J403" s="156">
        <v>400.0</v>
      </c>
      <c r="K403" s="157" t="s">
        <v>1369</v>
      </c>
      <c r="L403" s="158" t="s">
        <v>1370</v>
      </c>
      <c r="M403" s="158"/>
      <c r="N403" s="158"/>
      <c r="O403" s="158"/>
      <c r="P403" s="158"/>
      <c r="Q403" s="158"/>
      <c r="R403" s="158"/>
      <c r="S403" s="158"/>
      <c r="T403" s="158"/>
    </row>
    <row r="404">
      <c r="A404" s="152"/>
      <c r="B404" s="153"/>
      <c r="C404" s="152"/>
      <c r="D404" s="152"/>
      <c r="E404" s="154">
        <v>2614.0</v>
      </c>
      <c r="F404" s="152"/>
      <c r="G404" s="155"/>
      <c r="H404" s="153" t="s">
        <v>1371</v>
      </c>
      <c r="I404" s="153" t="s">
        <v>156</v>
      </c>
      <c r="J404" s="156">
        <v>401.0</v>
      </c>
      <c r="K404" s="157" t="s">
        <v>1372</v>
      </c>
      <c r="L404" s="158" t="s">
        <v>1373</v>
      </c>
      <c r="M404" s="158"/>
      <c r="N404" s="158"/>
      <c r="O404" s="158"/>
      <c r="P404" s="158"/>
      <c r="Q404" s="158"/>
      <c r="R404" s="158"/>
      <c r="S404" s="158"/>
      <c r="T404" s="158"/>
    </row>
    <row r="405">
      <c r="A405" s="152"/>
      <c r="B405" s="153"/>
      <c r="C405" s="152"/>
      <c r="D405" s="152"/>
      <c r="E405" s="154">
        <v>2615.0</v>
      </c>
      <c r="F405" s="152"/>
      <c r="G405" s="155"/>
      <c r="H405" s="153" t="s">
        <v>1374</v>
      </c>
      <c r="I405" s="153" t="s">
        <v>434</v>
      </c>
      <c r="J405" s="156">
        <v>402.0</v>
      </c>
      <c r="K405" s="157" t="s">
        <v>1375</v>
      </c>
      <c r="L405" s="153" t="s">
        <v>1376</v>
      </c>
      <c r="M405" s="153"/>
      <c r="N405" s="153"/>
      <c r="O405" s="153"/>
      <c r="P405" s="153"/>
      <c r="Q405" s="153"/>
      <c r="R405" s="153"/>
      <c r="S405" s="153"/>
      <c r="T405" s="153"/>
    </row>
    <row r="406">
      <c r="A406" s="152"/>
      <c r="B406" s="153"/>
      <c r="C406" s="152"/>
      <c r="D406" s="152"/>
      <c r="E406" s="154">
        <v>2616.0</v>
      </c>
      <c r="F406" s="152"/>
      <c r="G406" s="155"/>
      <c r="H406" s="153" t="s">
        <v>1377</v>
      </c>
      <c r="I406" s="153" t="s">
        <v>1378</v>
      </c>
      <c r="J406" s="156">
        <v>403.0</v>
      </c>
      <c r="K406" s="157" t="s">
        <v>1379</v>
      </c>
      <c r="L406" s="158" t="s">
        <v>1380</v>
      </c>
      <c r="M406" s="158"/>
      <c r="N406" s="158"/>
      <c r="O406" s="158"/>
      <c r="P406" s="158"/>
      <c r="Q406" s="158"/>
      <c r="R406" s="158"/>
      <c r="S406" s="158"/>
      <c r="T406" s="158"/>
    </row>
    <row r="407">
      <c r="A407" s="152"/>
      <c r="B407" s="153"/>
      <c r="C407" s="152"/>
      <c r="D407" s="152"/>
      <c r="E407" s="154">
        <v>2621.0</v>
      </c>
      <c r="F407" s="152"/>
      <c r="G407" s="155"/>
      <c r="H407" s="153" t="s">
        <v>1381</v>
      </c>
      <c r="I407" s="153" t="s">
        <v>156</v>
      </c>
      <c r="J407" s="156">
        <v>404.0</v>
      </c>
      <c r="K407" s="157" t="s">
        <v>1382</v>
      </c>
      <c r="L407" s="158" t="s">
        <v>1383</v>
      </c>
      <c r="M407" s="158"/>
      <c r="N407" s="158"/>
      <c r="O407" s="158"/>
      <c r="P407" s="158"/>
      <c r="Q407" s="158"/>
      <c r="R407" s="158"/>
      <c r="S407" s="158"/>
      <c r="T407" s="158"/>
    </row>
    <row r="408">
      <c r="A408" s="152"/>
      <c r="B408" s="153"/>
      <c r="C408" s="152"/>
      <c r="D408" s="152"/>
      <c r="E408" s="154">
        <v>2622.0</v>
      </c>
      <c r="F408" s="152"/>
      <c r="G408" s="155"/>
      <c r="H408" s="153" t="s">
        <v>1384</v>
      </c>
      <c r="I408" s="153" t="s">
        <v>230</v>
      </c>
      <c r="J408" s="156">
        <v>405.0</v>
      </c>
      <c r="K408" s="157" t="s">
        <v>1385</v>
      </c>
      <c r="L408" s="158" t="s">
        <v>1386</v>
      </c>
      <c r="M408" s="158"/>
      <c r="N408" s="158"/>
      <c r="O408" s="158"/>
      <c r="P408" s="158"/>
      <c r="Q408" s="158"/>
      <c r="R408" s="158"/>
      <c r="S408" s="158"/>
      <c r="T408" s="158"/>
    </row>
    <row r="409">
      <c r="A409" s="152"/>
      <c r="B409" s="153"/>
      <c r="C409" s="152"/>
      <c r="D409" s="152"/>
      <c r="E409" s="154">
        <v>2623.0</v>
      </c>
      <c r="F409" s="152"/>
      <c r="G409" s="155"/>
      <c r="H409" s="153" t="s">
        <v>1387</v>
      </c>
      <c r="I409" s="153" t="s">
        <v>167</v>
      </c>
      <c r="J409" s="156">
        <v>406.0</v>
      </c>
      <c r="K409" s="157" t="s">
        <v>1388</v>
      </c>
      <c r="L409" s="158" t="s">
        <v>1389</v>
      </c>
      <c r="M409" s="158"/>
      <c r="N409" s="158"/>
      <c r="O409" s="158"/>
      <c r="P409" s="158"/>
      <c r="Q409" s="158"/>
      <c r="R409" s="158"/>
      <c r="S409" s="158"/>
      <c r="T409" s="158"/>
    </row>
    <row r="410">
      <c r="A410" s="152"/>
      <c r="B410" s="153"/>
      <c r="C410" s="152"/>
      <c r="D410" s="152"/>
      <c r="E410" s="154">
        <v>2624.0</v>
      </c>
      <c r="F410" s="152"/>
      <c r="G410" s="155"/>
      <c r="H410" s="153" t="s">
        <v>1390</v>
      </c>
      <c r="I410" s="153" t="s">
        <v>167</v>
      </c>
      <c r="J410" s="156">
        <v>407.0</v>
      </c>
      <c r="K410" s="157" t="s">
        <v>1391</v>
      </c>
      <c r="L410" s="158" t="s">
        <v>1392</v>
      </c>
      <c r="M410" s="158"/>
      <c r="N410" s="158"/>
      <c r="O410" s="158"/>
      <c r="P410" s="158"/>
      <c r="Q410" s="158"/>
      <c r="R410" s="158"/>
      <c r="S410" s="158"/>
      <c r="T410" s="158"/>
    </row>
    <row r="411">
      <c r="A411" s="152"/>
      <c r="B411" s="153"/>
      <c r="C411" s="152"/>
      <c r="D411" s="152"/>
      <c r="E411" s="154">
        <v>2625.0</v>
      </c>
      <c r="F411" s="152"/>
      <c r="G411" s="155"/>
      <c r="H411" s="153" t="s">
        <v>1393</v>
      </c>
      <c r="I411" s="153" t="s">
        <v>1394</v>
      </c>
      <c r="J411" s="156">
        <v>408.0</v>
      </c>
      <c r="K411" s="157" t="s">
        <v>1395</v>
      </c>
      <c r="L411" s="158" t="s">
        <v>1396</v>
      </c>
      <c r="M411" s="158"/>
      <c r="N411" s="158"/>
      <c r="O411" s="158"/>
      <c r="P411" s="158"/>
      <c r="Q411" s="158"/>
      <c r="R411" s="158"/>
      <c r="S411" s="158"/>
      <c r="T411" s="158"/>
    </row>
    <row r="412">
      <c r="A412" s="152"/>
      <c r="B412" s="153"/>
      <c r="C412" s="152"/>
      <c r="D412" s="152"/>
      <c r="E412" s="154">
        <v>2626.0</v>
      </c>
      <c r="F412" s="152"/>
      <c r="G412" s="155"/>
      <c r="H412" s="153" t="s">
        <v>1397</v>
      </c>
      <c r="I412" s="153" t="s">
        <v>167</v>
      </c>
      <c r="J412" s="156">
        <v>409.0</v>
      </c>
      <c r="K412" s="157" t="s">
        <v>1398</v>
      </c>
      <c r="L412" s="158" t="s">
        <v>1399</v>
      </c>
      <c r="M412" s="158"/>
      <c r="N412" s="158"/>
      <c r="O412" s="158"/>
      <c r="P412" s="158"/>
      <c r="Q412" s="158"/>
      <c r="R412" s="158"/>
      <c r="S412" s="158"/>
      <c r="T412" s="158"/>
    </row>
    <row r="413">
      <c r="A413" s="152"/>
      <c r="B413" s="153"/>
      <c r="C413" s="152"/>
      <c r="D413" s="152"/>
      <c r="E413" s="154">
        <v>2631.0</v>
      </c>
      <c r="F413" s="152"/>
      <c r="G413" s="155"/>
      <c r="H413" s="153" t="s">
        <v>1400</v>
      </c>
      <c r="I413" s="153" t="s">
        <v>167</v>
      </c>
      <c r="J413" s="156">
        <v>410.0</v>
      </c>
      <c r="K413" s="157" t="s">
        <v>1401</v>
      </c>
      <c r="L413" s="158" t="s">
        <v>1402</v>
      </c>
      <c r="M413" s="158"/>
      <c r="N413" s="158"/>
      <c r="O413" s="158"/>
      <c r="P413" s="158"/>
      <c r="Q413" s="158"/>
      <c r="R413" s="158"/>
      <c r="S413" s="158"/>
      <c r="T413" s="158"/>
    </row>
    <row r="414">
      <c r="A414" s="152"/>
      <c r="B414" s="153"/>
      <c r="C414" s="152"/>
      <c r="D414" s="152"/>
      <c r="E414" s="154">
        <v>2632.0</v>
      </c>
      <c r="F414" s="152"/>
      <c r="G414" s="155"/>
      <c r="H414" s="153" t="s">
        <v>1403</v>
      </c>
      <c r="I414" s="153" t="s">
        <v>167</v>
      </c>
      <c r="J414" s="156">
        <v>411.0</v>
      </c>
      <c r="K414" s="157" t="s">
        <v>1404</v>
      </c>
      <c r="L414" s="158" t="s">
        <v>1405</v>
      </c>
      <c r="M414" s="158"/>
      <c r="N414" s="158"/>
      <c r="O414" s="158"/>
      <c r="P414" s="158"/>
      <c r="Q414" s="158"/>
      <c r="R414" s="158"/>
      <c r="S414" s="158"/>
      <c r="T414" s="158"/>
    </row>
    <row r="415">
      <c r="A415" s="152"/>
      <c r="B415" s="153"/>
      <c r="C415" s="152"/>
      <c r="D415" s="152"/>
      <c r="E415" s="154">
        <v>2633.0</v>
      </c>
      <c r="F415" s="152"/>
      <c r="G415" s="155"/>
      <c r="H415" s="153" t="s">
        <v>1406</v>
      </c>
      <c r="I415" s="153" t="s">
        <v>167</v>
      </c>
      <c r="J415" s="156">
        <v>412.0</v>
      </c>
      <c r="K415" s="157" t="s">
        <v>1407</v>
      </c>
      <c r="L415" s="158" t="s">
        <v>1408</v>
      </c>
      <c r="M415" s="158"/>
      <c r="N415" s="158"/>
      <c r="O415" s="158"/>
      <c r="P415" s="158"/>
      <c r="Q415" s="158"/>
      <c r="R415" s="158"/>
      <c r="S415" s="158"/>
      <c r="T415" s="158"/>
    </row>
    <row r="416">
      <c r="A416" s="152"/>
      <c r="B416" s="153"/>
      <c r="C416" s="152"/>
      <c r="D416" s="152"/>
      <c r="E416" s="154">
        <v>2634.0</v>
      </c>
      <c r="F416" s="152"/>
      <c r="G416" s="155"/>
      <c r="H416" s="153" t="s">
        <v>1409</v>
      </c>
      <c r="I416" s="153" t="s">
        <v>434</v>
      </c>
      <c r="J416" s="156">
        <v>413.0</v>
      </c>
      <c r="K416" s="157" t="s">
        <v>1410</v>
      </c>
      <c r="L416" s="153" t="s">
        <v>1411</v>
      </c>
      <c r="M416" s="153"/>
      <c r="N416" s="153"/>
      <c r="O416" s="153"/>
      <c r="P416" s="153"/>
      <c r="Q416" s="153"/>
      <c r="R416" s="153"/>
      <c r="S416" s="153"/>
      <c r="T416" s="153"/>
    </row>
    <row r="417">
      <c r="A417" s="152"/>
      <c r="B417" s="153"/>
      <c r="C417" s="152"/>
      <c r="D417" s="152"/>
      <c r="E417" s="154">
        <v>2635.0</v>
      </c>
      <c r="F417" s="152"/>
      <c r="G417" s="155"/>
      <c r="H417" s="153" t="s">
        <v>1412</v>
      </c>
      <c r="I417" s="153" t="s">
        <v>631</v>
      </c>
      <c r="J417" s="156">
        <v>414.0</v>
      </c>
      <c r="K417" s="157" t="s">
        <v>1413</v>
      </c>
      <c r="L417" s="158" t="s">
        <v>1414</v>
      </c>
      <c r="M417" s="158"/>
      <c r="N417" s="158"/>
      <c r="O417" s="158"/>
      <c r="P417" s="158"/>
      <c r="Q417" s="158"/>
      <c r="R417" s="158"/>
      <c r="S417" s="158"/>
      <c r="T417" s="158"/>
    </row>
    <row r="418">
      <c r="A418" s="152"/>
      <c r="B418" s="153"/>
      <c r="C418" s="152"/>
      <c r="D418" s="152"/>
      <c r="E418" s="154">
        <v>2636.0</v>
      </c>
      <c r="F418" s="152"/>
      <c r="G418" s="155"/>
      <c r="H418" s="153" t="s">
        <v>1415</v>
      </c>
      <c r="I418" s="153" t="s">
        <v>1084</v>
      </c>
      <c r="J418" s="156">
        <v>415.0</v>
      </c>
      <c r="K418" s="157" t="s">
        <v>1416</v>
      </c>
      <c r="L418" s="158" t="s">
        <v>1417</v>
      </c>
      <c r="M418" s="158"/>
      <c r="N418" s="158"/>
      <c r="O418" s="158"/>
      <c r="P418" s="158"/>
      <c r="Q418" s="158"/>
      <c r="R418" s="158"/>
      <c r="S418" s="158"/>
      <c r="T418" s="158"/>
    </row>
    <row r="419">
      <c r="A419" s="152"/>
      <c r="B419" s="153"/>
      <c r="C419" s="152"/>
      <c r="D419" s="152"/>
      <c r="E419" s="154">
        <v>2641.0</v>
      </c>
      <c r="F419" s="152"/>
      <c r="G419" s="155"/>
      <c r="H419" s="153" t="s">
        <v>1418</v>
      </c>
      <c r="I419" s="153" t="s">
        <v>167</v>
      </c>
      <c r="J419" s="156">
        <v>416.0</v>
      </c>
      <c r="K419" s="157" t="s">
        <v>1419</v>
      </c>
      <c r="L419" s="158" t="s">
        <v>1420</v>
      </c>
      <c r="M419" s="158"/>
      <c r="N419" s="158"/>
      <c r="O419" s="158"/>
      <c r="P419" s="158"/>
      <c r="Q419" s="158"/>
      <c r="R419" s="158"/>
      <c r="S419" s="158"/>
      <c r="T419" s="158"/>
    </row>
    <row r="420">
      <c r="A420" s="152"/>
      <c r="B420" s="153"/>
      <c r="C420" s="152"/>
      <c r="D420" s="152"/>
      <c r="E420" s="154">
        <v>2642.0</v>
      </c>
      <c r="F420" s="152"/>
      <c r="G420" s="155"/>
      <c r="H420" s="153" t="s">
        <v>1421</v>
      </c>
      <c r="I420" s="153" t="s">
        <v>167</v>
      </c>
      <c r="J420" s="156">
        <v>417.0</v>
      </c>
      <c r="K420" s="157" t="s">
        <v>1422</v>
      </c>
      <c r="L420" s="158" t="s">
        <v>1423</v>
      </c>
      <c r="M420" s="158"/>
      <c r="N420" s="158"/>
      <c r="O420" s="158"/>
      <c r="P420" s="158"/>
      <c r="Q420" s="158"/>
      <c r="R420" s="158"/>
      <c r="S420" s="158"/>
      <c r="T420" s="158"/>
    </row>
    <row r="421">
      <c r="A421" s="152"/>
      <c r="B421" s="153"/>
      <c r="C421" s="152"/>
      <c r="D421" s="152"/>
      <c r="E421" s="154">
        <v>2643.0</v>
      </c>
      <c r="F421" s="152"/>
      <c r="G421" s="155"/>
      <c r="H421" s="153" t="s">
        <v>1424</v>
      </c>
      <c r="I421" s="153" t="s">
        <v>1425</v>
      </c>
      <c r="J421" s="156">
        <v>418.0</v>
      </c>
      <c r="K421" s="157" t="s">
        <v>1426</v>
      </c>
      <c r="L421" s="158" t="s">
        <v>1427</v>
      </c>
      <c r="M421" s="158"/>
      <c r="N421" s="158"/>
      <c r="O421" s="158"/>
      <c r="P421" s="158"/>
      <c r="Q421" s="158"/>
      <c r="R421" s="158"/>
      <c r="S421" s="158"/>
      <c r="T421" s="158"/>
    </row>
    <row r="422">
      <c r="A422" s="152"/>
      <c r="B422" s="153"/>
      <c r="C422" s="152"/>
      <c r="D422" s="152"/>
      <c r="E422" s="154">
        <v>2644.0</v>
      </c>
      <c r="F422" s="152"/>
      <c r="G422" s="155"/>
      <c r="H422" s="153" t="s">
        <v>1428</v>
      </c>
      <c r="I422" s="153" t="s">
        <v>167</v>
      </c>
      <c r="J422" s="156">
        <v>419.0</v>
      </c>
      <c r="K422" s="157" t="s">
        <v>1429</v>
      </c>
      <c r="L422" s="158" t="s">
        <v>1430</v>
      </c>
      <c r="M422" s="158"/>
      <c r="N422" s="158"/>
      <c r="O422" s="158"/>
      <c r="P422" s="158"/>
      <c r="Q422" s="158"/>
      <c r="R422" s="158"/>
      <c r="S422" s="158"/>
      <c r="T422" s="158"/>
    </row>
    <row r="423">
      <c r="A423" s="152"/>
      <c r="B423" s="153"/>
      <c r="C423" s="152"/>
      <c r="D423" s="152"/>
      <c r="E423" s="154">
        <v>2645.0</v>
      </c>
      <c r="F423" s="152"/>
      <c r="G423" s="155"/>
      <c r="H423" s="153" t="s">
        <v>1431</v>
      </c>
      <c r="I423" s="153" t="s">
        <v>156</v>
      </c>
      <c r="J423" s="156">
        <v>420.0</v>
      </c>
      <c r="K423" s="157" t="s">
        <v>1432</v>
      </c>
      <c r="L423" s="158" t="s">
        <v>1433</v>
      </c>
      <c r="M423" s="158"/>
      <c r="N423" s="158"/>
      <c r="O423" s="158"/>
      <c r="P423" s="158"/>
      <c r="Q423" s="158"/>
      <c r="R423" s="158"/>
      <c r="S423" s="158"/>
      <c r="T423" s="158"/>
    </row>
    <row r="424">
      <c r="A424" s="152"/>
      <c r="B424" s="153"/>
      <c r="C424" s="152"/>
      <c r="D424" s="152"/>
      <c r="E424" s="154">
        <v>2646.0</v>
      </c>
      <c r="F424" s="152"/>
      <c r="G424" s="155"/>
      <c r="H424" s="153" t="s">
        <v>1434</v>
      </c>
      <c r="I424" s="153" t="s">
        <v>1435</v>
      </c>
      <c r="J424" s="156">
        <v>421.0</v>
      </c>
      <c r="K424" s="157" t="s">
        <v>1436</v>
      </c>
      <c r="L424" s="158" t="s">
        <v>1437</v>
      </c>
      <c r="M424" s="158"/>
      <c r="N424" s="158"/>
      <c r="O424" s="158"/>
      <c r="P424" s="158"/>
      <c r="Q424" s="158"/>
      <c r="R424" s="158"/>
      <c r="S424" s="158"/>
      <c r="T424" s="158"/>
    </row>
    <row r="425">
      <c r="A425" s="152"/>
      <c r="B425" s="153"/>
      <c r="C425" s="152"/>
      <c r="D425" s="152"/>
      <c r="E425" s="154">
        <v>2651.0</v>
      </c>
      <c r="F425" s="152"/>
      <c r="G425" s="155"/>
      <c r="H425" s="153" t="s">
        <v>1438</v>
      </c>
      <c r="I425" s="153" t="s">
        <v>156</v>
      </c>
      <c r="J425" s="156">
        <v>422.0</v>
      </c>
      <c r="K425" s="157" t="s">
        <v>1439</v>
      </c>
      <c r="L425" s="158" t="s">
        <v>1440</v>
      </c>
      <c r="M425" s="158"/>
      <c r="N425" s="158"/>
      <c r="O425" s="158"/>
      <c r="P425" s="158"/>
      <c r="Q425" s="158"/>
      <c r="R425" s="158"/>
      <c r="S425" s="158"/>
      <c r="T425" s="158"/>
    </row>
    <row r="426">
      <c r="A426" s="152"/>
      <c r="B426" s="153"/>
      <c r="C426" s="152"/>
      <c r="D426" s="152"/>
      <c r="E426" s="154">
        <v>2652.0</v>
      </c>
      <c r="F426" s="152"/>
      <c r="G426" s="155"/>
      <c r="H426" s="153" t="s">
        <v>1441</v>
      </c>
      <c r="I426" s="153" t="s">
        <v>156</v>
      </c>
      <c r="J426" s="156">
        <v>423.0</v>
      </c>
      <c r="K426" s="157" t="s">
        <v>1442</v>
      </c>
      <c r="L426" s="153" t="s">
        <v>1443</v>
      </c>
      <c r="M426" s="153"/>
      <c r="N426" s="153"/>
      <c r="O426" s="153"/>
      <c r="P426" s="153"/>
      <c r="Q426" s="153"/>
      <c r="R426" s="153"/>
      <c r="S426" s="153"/>
      <c r="T426" s="153"/>
    </row>
    <row r="427">
      <c r="A427" s="152"/>
      <c r="B427" s="153"/>
      <c r="C427" s="152"/>
      <c r="D427" s="152"/>
      <c r="E427" s="154">
        <v>2653.0</v>
      </c>
      <c r="F427" s="152"/>
      <c r="G427" s="155"/>
      <c r="H427" s="153" t="s">
        <v>1444</v>
      </c>
      <c r="I427" s="153" t="s">
        <v>453</v>
      </c>
      <c r="J427" s="156">
        <v>424.0</v>
      </c>
      <c r="K427" s="157" t="s">
        <v>1445</v>
      </c>
      <c r="L427" s="158" t="s">
        <v>1446</v>
      </c>
      <c r="M427" s="158"/>
      <c r="N427" s="158"/>
      <c r="O427" s="158"/>
      <c r="P427" s="158"/>
      <c r="Q427" s="158"/>
      <c r="R427" s="158"/>
      <c r="S427" s="158"/>
      <c r="T427" s="158"/>
    </row>
    <row r="428">
      <c r="A428" s="152"/>
      <c r="B428" s="153"/>
      <c r="C428" s="152"/>
      <c r="D428" s="152"/>
      <c r="E428" s="154">
        <v>2654.0</v>
      </c>
      <c r="F428" s="152"/>
      <c r="G428" s="155"/>
      <c r="H428" s="153" t="s">
        <v>1447</v>
      </c>
      <c r="I428" s="153" t="s">
        <v>1448</v>
      </c>
      <c r="J428" s="156">
        <v>425.0</v>
      </c>
      <c r="K428" s="157" t="s">
        <v>1449</v>
      </c>
      <c r="L428" s="158" t="s">
        <v>1450</v>
      </c>
      <c r="M428" s="158"/>
      <c r="N428" s="158"/>
      <c r="O428" s="158"/>
      <c r="P428" s="158"/>
      <c r="Q428" s="158"/>
      <c r="R428" s="158"/>
      <c r="S428" s="158"/>
      <c r="T428" s="158"/>
    </row>
    <row r="429">
      <c r="A429" s="152"/>
      <c r="B429" s="153"/>
      <c r="C429" s="152"/>
      <c r="D429" s="152"/>
      <c r="E429" s="154">
        <v>2655.0</v>
      </c>
      <c r="F429" s="152"/>
      <c r="G429" s="155"/>
      <c r="H429" s="153" t="s">
        <v>1451</v>
      </c>
      <c r="I429" s="153" t="s">
        <v>1452</v>
      </c>
      <c r="J429" s="156">
        <v>426.0</v>
      </c>
      <c r="K429" s="157" t="s">
        <v>1453</v>
      </c>
      <c r="L429" s="158" t="s">
        <v>1454</v>
      </c>
      <c r="M429" s="158"/>
      <c r="N429" s="158"/>
      <c r="O429" s="158"/>
      <c r="P429" s="158"/>
      <c r="Q429" s="158"/>
      <c r="R429" s="158"/>
      <c r="S429" s="158"/>
      <c r="T429" s="158"/>
    </row>
    <row r="430">
      <c r="A430" s="152"/>
      <c r="B430" s="153"/>
      <c r="C430" s="152"/>
      <c r="D430" s="152"/>
      <c r="E430" s="154">
        <v>2656.0</v>
      </c>
      <c r="F430" s="152"/>
      <c r="G430" s="155"/>
      <c r="H430" s="153" t="s">
        <v>1455</v>
      </c>
      <c r="I430" s="153" t="s">
        <v>1456</v>
      </c>
      <c r="J430" s="156">
        <v>427.0</v>
      </c>
      <c r="K430" s="157" t="s">
        <v>1457</v>
      </c>
      <c r="L430" s="158" t="s">
        <v>1458</v>
      </c>
      <c r="M430" s="158"/>
      <c r="N430" s="158"/>
      <c r="O430" s="158"/>
      <c r="P430" s="158"/>
      <c r="Q430" s="158"/>
      <c r="R430" s="158"/>
      <c r="S430" s="158"/>
      <c r="T430" s="158"/>
    </row>
    <row r="431">
      <c r="A431" s="152"/>
      <c r="B431" s="153"/>
      <c r="C431" s="152"/>
      <c r="D431" s="152"/>
      <c r="E431" s="154">
        <v>2661.0</v>
      </c>
      <c r="F431" s="152"/>
      <c r="G431" s="155"/>
      <c r="H431" s="153" t="s">
        <v>1459</v>
      </c>
      <c r="I431" s="153" t="s">
        <v>453</v>
      </c>
      <c r="J431" s="156">
        <v>428.0</v>
      </c>
      <c r="K431" s="157" t="s">
        <v>1460</v>
      </c>
      <c r="L431" s="158" t="s">
        <v>1461</v>
      </c>
      <c r="M431" s="158"/>
      <c r="N431" s="158"/>
      <c r="O431" s="158"/>
      <c r="P431" s="158"/>
      <c r="Q431" s="158"/>
      <c r="R431" s="158"/>
      <c r="S431" s="158"/>
      <c r="T431" s="158"/>
    </row>
    <row r="432">
      <c r="A432" s="152"/>
      <c r="B432" s="153"/>
      <c r="C432" s="152"/>
      <c r="D432" s="152"/>
      <c r="E432" s="154">
        <v>2662.0</v>
      </c>
      <c r="F432" s="152"/>
      <c r="G432" s="155"/>
      <c r="H432" s="153" t="s">
        <v>1462</v>
      </c>
      <c r="I432" s="153" t="s">
        <v>453</v>
      </c>
      <c r="J432" s="156">
        <v>429.0</v>
      </c>
      <c r="K432" s="157" t="s">
        <v>1463</v>
      </c>
      <c r="L432" s="158" t="s">
        <v>1464</v>
      </c>
      <c r="M432" s="158"/>
      <c r="N432" s="158"/>
      <c r="O432" s="158"/>
      <c r="P432" s="158"/>
      <c r="Q432" s="158"/>
      <c r="R432" s="158"/>
      <c r="S432" s="158"/>
      <c r="T432" s="158"/>
    </row>
    <row r="433">
      <c r="A433" s="152"/>
      <c r="B433" s="153"/>
      <c r="C433" s="152"/>
      <c r="D433" s="152"/>
      <c r="E433" s="154">
        <v>2663.0</v>
      </c>
      <c r="F433" s="152"/>
      <c r="G433" s="155"/>
      <c r="H433" s="153" t="s">
        <v>1465</v>
      </c>
      <c r="I433" s="153" t="s">
        <v>453</v>
      </c>
      <c r="J433" s="156">
        <v>430.0</v>
      </c>
      <c r="K433" s="157" t="s">
        <v>1466</v>
      </c>
      <c r="L433" s="158" t="s">
        <v>1467</v>
      </c>
      <c r="M433" s="158"/>
      <c r="N433" s="158"/>
      <c r="O433" s="158"/>
      <c r="P433" s="158"/>
      <c r="Q433" s="158"/>
      <c r="R433" s="158"/>
      <c r="S433" s="158"/>
      <c r="T433" s="158"/>
    </row>
    <row r="434">
      <c r="A434" s="152"/>
      <c r="B434" s="153"/>
      <c r="C434" s="152"/>
      <c r="D434" s="152"/>
      <c r="E434" s="154">
        <v>2664.0</v>
      </c>
      <c r="F434" s="152"/>
      <c r="G434" s="155"/>
      <c r="H434" s="153" t="s">
        <v>1468</v>
      </c>
      <c r="I434" s="153" t="s">
        <v>1469</v>
      </c>
      <c r="J434" s="156">
        <v>431.0</v>
      </c>
      <c r="K434" s="157" t="s">
        <v>1470</v>
      </c>
      <c r="L434" s="158" t="s">
        <v>1471</v>
      </c>
      <c r="M434" s="158"/>
      <c r="N434" s="158"/>
      <c r="O434" s="158"/>
      <c r="P434" s="158"/>
      <c r="Q434" s="158"/>
      <c r="R434" s="158"/>
      <c r="S434" s="158"/>
      <c r="T434" s="158"/>
    </row>
    <row r="435">
      <c r="A435" s="152"/>
      <c r="B435" s="153"/>
      <c r="C435" s="152"/>
      <c r="D435" s="152"/>
      <c r="E435" s="154">
        <v>2665.0</v>
      </c>
      <c r="F435" s="152"/>
      <c r="G435" s="155"/>
      <c r="H435" s="153" t="s">
        <v>1472</v>
      </c>
      <c r="I435" s="153" t="s">
        <v>1435</v>
      </c>
      <c r="J435" s="156">
        <v>432.0</v>
      </c>
      <c r="K435" s="157" t="s">
        <v>1473</v>
      </c>
      <c r="L435" s="158" t="s">
        <v>1474</v>
      </c>
      <c r="M435" s="158"/>
      <c r="N435" s="158"/>
      <c r="O435" s="158"/>
      <c r="P435" s="158"/>
      <c r="Q435" s="158"/>
      <c r="R435" s="158"/>
      <c r="S435" s="158"/>
      <c r="T435" s="158"/>
    </row>
    <row r="436">
      <c r="A436" s="152"/>
      <c r="B436" s="153"/>
      <c r="C436" s="152"/>
      <c r="D436" s="152"/>
      <c r="E436" s="154">
        <v>2666.0</v>
      </c>
      <c r="F436" s="152"/>
      <c r="G436" s="155"/>
      <c r="H436" s="153" t="s">
        <v>1475</v>
      </c>
      <c r="I436" s="153" t="s">
        <v>1469</v>
      </c>
      <c r="J436" s="156">
        <v>433.0</v>
      </c>
      <c r="K436" s="157" t="s">
        <v>1476</v>
      </c>
      <c r="L436" s="158" t="s">
        <v>1477</v>
      </c>
      <c r="M436" s="158"/>
      <c r="N436" s="158"/>
      <c r="O436" s="158"/>
      <c r="P436" s="158"/>
      <c r="Q436" s="158"/>
      <c r="R436" s="158"/>
      <c r="S436" s="158"/>
      <c r="T436" s="158"/>
    </row>
    <row r="437">
      <c r="A437" s="152"/>
      <c r="B437" s="153"/>
      <c r="C437" s="152"/>
      <c r="D437" s="152"/>
      <c r="E437" s="154">
        <v>3111.0</v>
      </c>
      <c r="F437" s="152"/>
      <c r="G437" s="155"/>
      <c r="H437" s="153" t="s">
        <v>1478</v>
      </c>
      <c r="I437" s="153" t="s">
        <v>167</v>
      </c>
      <c r="J437" s="156">
        <v>434.0</v>
      </c>
      <c r="K437" s="157" t="s">
        <v>1479</v>
      </c>
      <c r="L437" s="158" t="s">
        <v>1480</v>
      </c>
      <c r="M437" s="158"/>
      <c r="N437" s="158"/>
      <c r="O437" s="158"/>
      <c r="P437" s="158"/>
      <c r="Q437" s="158"/>
      <c r="R437" s="158"/>
      <c r="S437" s="158"/>
      <c r="T437" s="158"/>
    </row>
    <row r="438">
      <c r="A438" s="152"/>
      <c r="B438" s="153"/>
      <c r="C438" s="152"/>
      <c r="D438" s="152"/>
      <c r="E438" s="154">
        <v>3112.0</v>
      </c>
      <c r="F438" s="152"/>
      <c r="G438" s="155"/>
      <c r="H438" s="153" t="s">
        <v>1481</v>
      </c>
      <c r="I438" s="153" t="s">
        <v>167</v>
      </c>
      <c r="J438" s="156">
        <v>435.0</v>
      </c>
      <c r="K438" s="157" t="s">
        <v>1482</v>
      </c>
      <c r="L438" s="158" t="s">
        <v>1483</v>
      </c>
      <c r="M438" s="158"/>
      <c r="N438" s="158"/>
      <c r="O438" s="158"/>
      <c r="P438" s="158"/>
      <c r="Q438" s="158"/>
      <c r="R438" s="158"/>
      <c r="S438" s="158"/>
      <c r="T438" s="158"/>
    </row>
    <row r="439">
      <c r="A439" s="152"/>
      <c r="B439" s="153"/>
      <c r="C439" s="152"/>
      <c r="D439" s="152"/>
      <c r="E439" s="154">
        <v>3113.0</v>
      </c>
      <c r="F439" s="152"/>
      <c r="G439" s="155"/>
      <c r="H439" s="153" t="s">
        <v>1484</v>
      </c>
      <c r="I439" s="153" t="s">
        <v>167</v>
      </c>
      <c r="J439" s="156">
        <v>436.0</v>
      </c>
      <c r="K439" s="157" t="s">
        <v>1485</v>
      </c>
      <c r="L439" s="158" t="s">
        <v>1486</v>
      </c>
      <c r="M439" s="158"/>
      <c r="N439" s="158"/>
      <c r="O439" s="158"/>
      <c r="P439" s="158"/>
      <c r="Q439" s="158"/>
      <c r="R439" s="158"/>
      <c r="S439" s="158"/>
      <c r="T439" s="158"/>
    </row>
    <row r="440">
      <c r="A440" s="152"/>
      <c r="B440" s="153"/>
      <c r="C440" s="152"/>
      <c r="D440" s="152"/>
      <c r="E440" s="154">
        <v>3114.0</v>
      </c>
      <c r="F440" s="152"/>
      <c r="G440" s="155"/>
      <c r="H440" s="153" t="s">
        <v>1487</v>
      </c>
      <c r="I440" s="153" t="s">
        <v>167</v>
      </c>
      <c r="J440" s="156">
        <v>437.0</v>
      </c>
      <c r="K440" s="157" t="s">
        <v>1488</v>
      </c>
      <c r="L440" s="158" t="s">
        <v>1489</v>
      </c>
      <c r="M440" s="158"/>
      <c r="N440" s="158"/>
      <c r="O440" s="158"/>
      <c r="P440" s="158"/>
      <c r="Q440" s="158"/>
      <c r="R440" s="158"/>
      <c r="S440" s="158"/>
      <c r="T440" s="158"/>
    </row>
    <row r="441">
      <c r="A441" s="152"/>
      <c r="B441" s="153"/>
      <c r="C441" s="152"/>
      <c r="D441" s="152"/>
      <c r="E441" s="154">
        <v>3115.0</v>
      </c>
      <c r="F441" s="152"/>
      <c r="G441" s="155"/>
      <c r="H441" s="153" t="s">
        <v>1490</v>
      </c>
      <c r="I441" s="153" t="s">
        <v>167</v>
      </c>
      <c r="J441" s="156">
        <v>438.0</v>
      </c>
      <c r="K441" s="157" t="s">
        <v>1491</v>
      </c>
      <c r="L441" s="158" t="s">
        <v>1492</v>
      </c>
      <c r="M441" s="158"/>
      <c r="N441" s="158"/>
      <c r="O441" s="158"/>
      <c r="P441" s="158"/>
      <c r="Q441" s="158"/>
      <c r="R441" s="158"/>
      <c r="S441" s="158"/>
      <c r="T441" s="158"/>
    </row>
    <row r="442">
      <c r="A442" s="152"/>
      <c r="B442" s="153"/>
      <c r="C442" s="152"/>
      <c r="D442" s="152"/>
      <c r="E442" s="154">
        <v>3116.0</v>
      </c>
      <c r="F442" s="152"/>
      <c r="G442" s="155"/>
      <c r="H442" s="153" t="s">
        <v>1493</v>
      </c>
      <c r="I442" s="153" t="s">
        <v>167</v>
      </c>
      <c r="J442" s="156">
        <v>439.0</v>
      </c>
      <c r="K442" s="157" t="s">
        <v>1494</v>
      </c>
      <c r="L442" s="158" t="s">
        <v>1495</v>
      </c>
      <c r="M442" s="158"/>
      <c r="N442" s="158"/>
      <c r="O442" s="158"/>
      <c r="P442" s="158"/>
      <c r="Q442" s="158"/>
      <c r="R442" s="158"/>
      <c r="S442" s="158"/>
      <c r="T442" s="158"/>
    </row>
    <row r="443">
      <c r="A443" s="152"/>
      <c r="B443" s="153"/>
      <c r="C443" s="152"/>
      <c r="D443" s="152"/>
      <c r="E443" s="154">
        <v>3121.0</v>
      </c>
      <c r="F443" s="152"/>
      <c r="G443" s="155"/>
      <c r="H443" s="153" t="s">
        <v>1496</v>
      </c>
      <c r="I443" s="153" t="s">
        <v>167</v>
      </c>
      <c r="J443" s="156">
        <v>440.0</v>
      </c>
      <c r="K443" s="157" t="s">
        <v>1497</v>
      </c>
      <c r="L443" s="158" t="s">
        <v>1498</v>
      </c>
      <c r="M443" s="158"/>
      <c r="N443" s="158"/>
      <c r="O443" s="158"/>
      <c r="P443" s="158"/>
      <c r="Q443" s="158"/>
      <c r="R443" s="158"/>
      <c r="S443" s="158"/>
      <c r="T443" s="158"/>
    </row>
    <row r="444">
      <c r="A444" s="152"/>
      <c r="B444" s="153"/>
      <c r="C444" s="152"/>
      <c r="D444" s="152"/>
      <c r="E444" s="154">
        <v>3122.0</v>
      </c>
      <c r="F444" s="152"/>
      <c r="G444" s="155"/>
      <c r="H444" s="153" t="s">
        <v>1499</v>
      </c>
      <c r="I444" s="153" t="s">
        <v>167</v>
      </c>
      <c r="J444" s="156">
        <v>441.0</v>
      </c>
      <c r="K444" s="157" t="s">
        <v>1500</v>
      </c>
      <c r="L444" s="158" t="s">
        <v>1501</v>
      </c>
      <c r="M444" s="158"/>
      <c r="N444" s="158"/>
      <c r="O444" s="158"/>
      <c r="P444" s="158"/>
      <c r="Q444" s="158"/>
      <c r="R444" s="158"/>
      <c r="S444" s="158"/>
      <c r="T444" s="158"/>
    </row>
    <row r="445">
      <c r="A445" s="152"/>
      <c r="B445" s="153"/>
      <c r="C445" s="152"/>
      <c r="D445" s="152"/>
      <c r="E445" s="154">
        <v>3123.0</v>
      </c>
      <c r="F445" s="152"/>
      <c r="G445" s="155"/>
      <c r="H445" s="153" t="s">
        <v>1502</v>
      </c>
      <c r="I445" s="153" t="s">
        <v>167</v>
      </c>
      <c r="J445" s="156">
        <v>442.0</v>
      </c>
      <c r="K445" s="157" t="s">
        <v>1503</v>
      </c>
      <c r="L445" s="158" t="s">
        <v>1504</v>
      </c>
      <c r="M445" s="158"/>
      <c r="N445" s="158"/>
      <c r="O445" s="158"/>
      <c r="P445" s="158"/>
      <c r="Q445" s="158"/>
      <c r="R445" s="158"/>
      <c r="S445" s="158"/>
      <c r="T445" s="158"/>
    </row>
    <row r="446">
      <c r="A446" s="152"/>
      <c r="B446" s="153"/>
      <c r="C446" s="152"/>
      <c r="D446" s="152"/>
      <c r="E446" s="154">
        <v>3124.0</v>
      </c>
      <c r="F446" s="152"/>
      <c r="G446" s="155"/>
      <c r="H446" s="153" t="s">
        <v>1505</v>
      </c>
      <c r="I446" s="153" t="s">
        <v>167</v>
      </c>
      <c r="J446" s="156">
        <v>443.0</v>
      </c>
      <c r="K446" s="157" t="s">
        <v>1506</v>
      </c>
      <c r="L446" s="158" t="s">
        <v>1507</v>
      </c>
      <c r="M446" s="158"/>
      <c r="N446" s="158"/>
      <c r="O446" s="158"/>
      <c r="P446" s="158"/>
      <c r="Q446" s="158"/>
      <c r="R446" s="158"/>
      <c r="S446" s="158"/>
      <c r="T446" s="158"/>
    </row>
    <row r="447">
      <c r="A447" s="152"/>
      <c r="B447" s="153"/>
      <c r="C447" s="152"/>
      <c r="D447" s="152"/>
      <c r="E447" s="154">
        <v>3125.0</v>
      </c>
      <c r="F447" s="152"/>
      <c r="G447" s="155"/>
      <c r="H447" s="153" t="s">
        <v>1508</v>
      </c>
      <c r="I447" s="153" t="s">
        <v>167</v>
      </c>
      <c r="J447" s="156">
        <v>444.0</v>
      </c>
      <c r="K447" s="157" t="s">
        <v>1509</v>
      </c>
      <c r="L447" s="158" t="s">
        <v>1510</v>
      </c>
      <c r="M447" s="158"/>
      <c r="N447" s="158"/>
      <c r="O447" s="158"/>
      <c r="P447" s="158"/>
      <c r="Q447" s="158"/>
      <c r="R447" s="158"/>
      <c r="S447" s="158"/>
      <c r="T447" s="158"/>
    </row>
    <row r="448">
      <c r="A448" s="152"/>
      <c r="B448" s="153"/>
      <c r="C448" s="152"/>
      <c r="D448" s="152"/>
      <c r="E448" s="154">
        <v>3126.0</v>
      </c>
      <c r="F448" s="152"/>
      <c r="G448" s="155"/>
      <c r="H448" s="153" t="s">
        <v>1511</v>
      </c>
      <c r="I448" s="153" t="s">
        <v>167</v>
      </c>
      <c r="J448" s="156">
        <v>445.0</v>
      </c>
      <c r="K448" s="157" t="s">
        <v>1512</v>
      </c>
      <c r="L448" s="158" t="s">
        <v>1513</v>
      </c>
      <c r="M448" s="158"/>
      <c r="N448" s="158"/>
      <c r="O448" s="158"/>
      <c r="P448" s="158"/>
      <c r="Q448" s="158"/>
      <c r="R448" s="158"/>
      <c r="S448" s="158"/>
      <c r="T448" s="158"/>
    </row>
    <row r="449">
      <c r="A449" s="152"/>
      <c r="B449" s="153"/>
      <c r="C449" s="152"/>
      <c r="D449" s="152"/>
      <c r="E449" s="154">
        <v>3131.0</v>
      </c>
      <c r="F449" s="152"/>
      <c r="G449" s="155"/>
      <c r="H449" s="153" t="s">
        <v>1514</v>
      </c>
      <c r="I449" s="153" t="s">
        <v>167</v>
      </c>
      <c r="J449" s="156">
        <v>446.0</v>
      </c>
      <c r="K449" s="157" t="s">
        <v>1515</v>
      </c>
      <c r="L449" s="158" t="s">
        <v>1516</v>
      </c>
      <c r="M449" s="158"/>
      <c r="N449" s="158"/>
      <c r="O449" s="158"/>
      <c r="P449" s="158"/>
      <c r="Q449" s="158"/>
      <c r="R449" s="158"/>
      <c r="S449" s="158"/>
      <c r="T449" s="158"/>
    </row>
    <row r="450">
      <c r="A450" s="152"/>
      <c r="B450" s="153"/>
      <c r="C450" s="152"/>
      <c r="D450" s="152"/>
      <c r="E450" s="154">
        <v>3132.0</v>
      </c>
      <c r="F450" s="152"/>
      <c r="G450" s="155"/>
      <c r="H450" s="153" t="s">
        <v>1517</v>
      </c>
      <c r="I450" s="153" t="s">
        <v>167</v>
      </c>
      <c r="J450" s="156">
        <v>447.0</v>
      </c>
      <c r="K450" s="157" t="s">
        <v>1518</v>
      </c>
      <c r="L450" s="158" t="s">
        <v>1495</v>
      </c>
      <c r="M450" s="158"/>
      <c r="N450" s="158"/>
      <c r="O450" s="158"/>
      <c r="P450" s="158"/>
      <c r="Q450" s="158"/>
      <c r="R450" s="158"/>
      <c r="S450" s="158"/>
      <c r="T450" s="158"/>
    </row>
    <row r="451">
      <c r="A451" s="152"/>
      <c r="B451" s="153"/>
      <c r="C451" s="152"/>
      <c r="D451" s="152"/>
      <c r="E451" s="154">
        <v>3133.0</v>
      </c>
      <c r="F451" s="152"/>
      <c r="G451" s="155"/>
      <c r="H451" s="153" t="s">
        <v>1519</v>
      </c>
      <c r="I451" s="153" t="s">
        <v>167</v>
      </c>
      <c r="J451" s="156">
        <v>448.0</v>
      </c>
      <c r="K451" s="157" t="s">
        <v>1520</v>
      </c>
      <c r="L451" s="158" t="s">
        <v>1521</v>
      </c>
      <c r="M451" s="158"/>
      <c r="N451" s="158"/>
      <c r="O451" s="158"/>
      <c r="P451" s="158"/>
      <c r="Q451" s="158"/>
      <c r="R451" s="158"/>
      <c r="S451" s="158"/>
      <c r="T451" s="158"/>
    </row>
    <row r="452">
      <c r="A452" s="152"/>
      <c r="B452" s="153"/>
      <c r="C452" s="152"/>
      <c r="D452" s="152"/>
      <c r="E452" s="154">
        <v>3134.0</v>
      </c>
      <c r="F452" s="152"/>
      <c r="G452" s="155"/>
      <c r="H452" s="153" t="s">
        <v>1522</v>
      </c>
      <c r="I452" s="153" t="s">
        <v>167</v>
      </c>
      <c r="J452" s="156">
        <v>449.0</v>
      </c>
      <c r="K452" s="157" t="s">
        <v>1523</v>
      </c>
      <c r="L452" s="158" t="s">
        <v>1524</v>
      </c>
      <c r="M452" s="158"/>
      <c r="N452" s="158"/>
      <c r="O452" s="158"/>
      <c r="P452" s="158"/>
      <c r="Q452" s="158"/>
      <c r="R452" s="158"/>
      <c r="S452" s="158"/>
      <c r="T452" s="158"/>
    </row>
    <row r="453">
      <c r="A453" s="152"/>
      <c r="B453" s="153"/>
      <c r="C453" s="152"/>
      <c r="D453" s="152"/>
      <c r="E453" s="154">
        <v>3135.0</v>
      </c>
      <c r="F453" s="152"/>
      <c r="G453" s="155"/>
      <c r="H453" s="153" t="s">
        <v>1525</v>
      </c>
      <c r="I453" s="153" t="s">
        <v>1526</v>
      </c>
      <c r="J453" s="156">
        <v>450.0</v>
      </c>
      <c r="K453" s="157" t="s">
        <v>1527</v>
      </c>
      <c r="L453" s="158" t="s">
        <v>1528</v>
      </c>
      <c r="M453" s="158"/>
      <c r="N453" s="158"/>
      <c r="O453" s="158"/>
      <c r="P453" s="158"/>
      <c r="Q453" s="158"/>
      <c r="R453" s="158"/>
      <c r="S453" s="158"/>
      <c r="T453" s="158"/>
    </row>
    <row r="454">
      <c r="A454" s="152"/>
      <c r="B454" s="153"/>
      <c r="C454" s="152"/>
      <c r="D454" s="152"/>
      <c r="E454" s="154">
        <v>3136.0</v>
      </c>
      <c r="F454" s="152"/>
      <c r="G454" s="155"/>
      <c r="H454" s="153" t="s">
        <v>1529</v>
      </c>
      <c r="I454" s="153" t="s">
        <v>167</v>
      </c>
      <c r="J454" s="156">
        <v>451.0</v>
      </c>
      <c r="K454" s="157" t="s">
        <v>1530</v>
      </c>
      <c r="L454" s="158" t="s">
        <v>1531</v>
      </c>
      <c r="M454" s="158"/>
      <c r="N454" s="158"/>
      <c r="O454" s="158"/>
      <c r="P454" s="158"/>
      <c r="Q454" s="158"/>
      <c r="R454" s="158"/>
      <c r="S454" s="158"/>
      <c r="T454" s="158"/>
    </row>
    <row r="455">
      <c r="A455" s="152"/>
      <c r="B455" s="153"/>
      <c r="C455" s="152"/>
      <c r="D455" s="152"/>
      <c r="E455" s="154">
        <v>3141.0</v>
      </c>
      <c r="F455" s="152"/>
      <c r="G455" s="155"/>
      <c r="H455" s="153" t="s">
        <v>1532</v>
      </c>
      <c r="I455" s="153" t="s">
        <v>230</v>
      </c>
      <c r="J455" s="156">
        <v>452.0</v>
      </c>
      <c r="K455" s="157" t="s">
        <v>1533</v>
      </c>
      <c r="L455" s="158" t="s">
        <v>1534</v>
      </c>
      <c r="M455" s="158"/>
      <c r="N455" s="158"/>
      <c r="O455" s="158"/>
      <c r="P455" s="158"/>
      <c r="Q455" s="158"/>
      <c r="R455" s="158"/>
      <c r="S455" s="158"/>
      <c r="T455" s="158"/>
    </row>
    <row r="456">
      <c r="A456" s="152"/>
      <c r="B456" s="153"/>
      <c r="C456" s="152"/>
      <c r="D456" s="152"/>
      <c r="E456" s="154">
        <v>3142.0</v>
      </c>
      <c r="F456" s="152"/>
      <c r="G456" s="155"/>
      <c r="H456" s="153" t="s">
        <v>1535</v>
      </c>
      <c r="I456" s="153" t="s">
        <v>167</v>
      </c>
      <c r="J456" s="156">
        <v>453.0</v>
      </c>
      <c r="K456" s="157" t="s">
        <v>1536</v>
      </c>
      <c r="L456" s="158" t="s">
        <v>1537</v>
      </c>
      <c r="M456" s="158"/>
      <c r="N456" s="158"/>
      <c r="O456" s="158"/>
      <c r="P456" s="158"/>
      <c r="Q456" s="158"/>
      <c r="R456" s="158"/>
      <c r="S456" s="158"/>
      <c r="T456" s="158"/>
    </row>
    <row r="457">
      <c r="A457" s="152"/>
      <c r="B457" s="153"/>
      <c r="C457" s="152"/>
      <c r="D457" s="152"/>
      <c r="E457" s="154">
        <v>3143.0</v>
      </c>
      <c r="F457" s="152"/>
      <c r="G457" s="155"/>
      <c r="H457" s="153" t="s">
        <v>1538</v>
      </c>
      <c r="I457" s="153" t="s">
        <v>1084</v>
      </c>
      <c r="J457" s="156">
        <v>454.0</v>
      </c>
      <c r="K457" s="157" t="s">
        <v>1539</v>
      </c>
      <c r="L457" s="158" t="s">
        <v>1540</v>
      </c>
      <c r="M457" s="158"/>
      <c r="N457" s="158"/>
      <c r="O457" s="158"/>
      <c r="P457" s="158"/>
      <c r="Q457" s="158"/>
      <c r="R457" s="158"/>
      <c r="S457" s="158"/>
      <c r="T457" s="158"/>
    </row>
    <row r="458">
      <c r="A458" s="152"/>
      <c r="B458" s="153"/>
      <c r="C458" s="152"/>
      <c r="D458" s="152"/>
      <c r="E458" s="154">
        <v>3144.0</v>
      </c>
      <c r="F458" s="152"/>
      <c r="G458" s="155"/>
      <c r="H458" s="153" t="s">
        <v>1541</v>
      </c>
      <c r="I458" s="153" t="s">
        <v>156</v>
      </c>
      <c r="J458" s="156">
        <v>455.0</v>
      </c>
      <c r="K458" s="157" t="s">
        <v>1542</v>
      </c>
      <c r="L458" s="158" t="s">
        <v>1543</v>
      </c>
      <c r="M458" s="158"/>
      <c r="N458" s="158"/>
      <c r="O458" s="158"/>
      <c r="P458" s="158"/>
      <c r="Q458" s="158"/>
      <c r="R458" s="158"/>
      <c r="S458" s="158"/>
      <c r="T458" s="158"/>
    </row>
    <row r="459">
      <c r="A459" s="152"/>
      <c r="B459" s="153"/>
      <c r="C459" s="152"/>
      <c r="D459" s="152"/>
      <c r="E459" s="154">
        <v>3145.0</v>
      </c>
      <c r="F459" s="152"/>
      <c r="G459" s="155"/>
      <c r="H459" s="153" t="s">
        <v>1544</v>
      </c>
      <c r="I459" s="153" t="s">
        <v>156</v>
      </c>
      <c r="J459" s="156">
        <v>456.0</v>
      </c>
      <c r="K459" s="157" t="s">
        <v>1545</v>
      </c>
      <c r="L459" s="158" t="s">
        <v>1546</v>
      </c>
      <c r="M459" s="158"/>
      <c r="N459" s="158"/>
      <c r="O459" s="158"/>
      <c r="P459" s="158"/>
      <c r="Q459" s="158"/>
      <c r="R459" s="158"/>
      <c r="S459" s="158"/>
      <c r="T459" s="158"/>
    </row>
    <row r="460">
      <c r="A460" s="152"/>
      <c r="B460" s="153"/>
      <c r="C460" s="152"/>
      <c r="D460" s="152"/>
      <c r="E460" s="154">
        <v>3146.0</v>
      </c>
      <c r="F460" s="152"/>
      <c r="G460" s="155"/>
      <c r="H460" s="153" t="s">
        <v>1547</v>
      </c>
      <c r="I460" s="153" t="s">
        <v>509</v>
      </c>
      <c r="J460" s="156">
        <v>457.0</v>
      </c>
      <c r="K460" s="157" t="s">
        <v>1548</v>
      </c>
      <c r="L460" s="158" t="s">
        <v>1549</v>
      </c>
      <c r="M460" s="158"/>
      <c r="N460" s="158"/>
      <c r="O460" s="158"/>
      <c r="P460" s="158"/>
      <c r="Q460" s="158"/>
      <c r="R460" s="158"/>
      <c r="S460" s="158"/>
      <c r="T460" s="158"/>
    </row>
    <row r="461">
      <c r="A461" s="152"/>
      <c r="B461" s="153"/>
      <c r="C461" s="152"/>
      <c r="D461" s="152"/>
      <c r="E461" s="154">
        <v>3151.0</v>
      </c>
      <c r="F461" s="152"/>
      <c r="G461" s="155"/>
      <c r="H461" s="153" t="s">
        <v>1550</v>
      </c>
      <c r="I461" s="153" t="s">
        <v>156</v>
      </c>
      <c r="J461" s="156">
        <v>458.0</v>
      </c>
      <c r="K461" s="157" t="s">
        <v>1551</v>
      </c>
      <c r="L461" s="158" t="s">
        <v>1552</v>
      </c>
      <c r="M461" s="158"/>
      <c r="N461" s="158"/>
      <c r="O461" s="158"/>
      <c r="P461" s="158"/>
      <c r="Q461" s="158"/>
      <c r="R461" s="158"/>
      <c r="S461" s="158"/>
      <c r="T461" s="158"/>
    </row>
    <row r="462">
      <c r="A462" s="152"/>
      <c r="B462" s="153"/>
      <c r="C462" s="152"/>
      <c r="D462" s="152"/>
      <c r="E462" s="154">
        <v>3152.0</v>
      </c>
      <c r="F462" s="152"/>
      <c r="G462" s="155"/>
      <c r="H462" s="153" t="s">
        <v>1553</v>
      </c>
      <c r="I462" s="153" t="s">
        <v>230</v>
      </c>
      <c r="J462" s="156">
        <v>459.0</v>
      </c>
      <c r="K462" s="157" t="s">
        <v>1554</v>
      </c>
      <c r="L462" s="158" t="s">
        <v>1555</v>
      </c>
      <c r="M462" s="158"/>
      <c r="N462" s="158"/>
      <c r="O462" s="158"/>
      <c r="P462" s="158"/>
      <c r="Q462" s="158"/>
      <c r="R462" s="158"/>
      <c r="S462" s="158"/>
      <c r="T462" s="158"/>
    </row>
    <row r="463">
      <c r="A463" s="152"/>
      <c r="B463" s="153"/>
      <c r="C463" s="152"/>
      <c r="D463" s="152"/>
      <c r="E463" s="154">
        <v>3153.0</v>
      </c>
      <c r="F463" s="152"/>
      <c r="G463" s="155"/>
      <c r="H463" s="153" t="s">
        <v>1556</v>
      </c>
      <c r="I463" s="153" t="s">
        <v>156</v>
      </c>
      <c r="J463" s="156">
        <v>460.0</v>
      </c>
      <c r="K463" s="157" t="s">
        <v>1557</v>
      </c>
      <c r="L463" s="158" t="s">
        <v>1558</v>
      </c>
      <c r="M463" s="158"/>
      <c r="N463" s="158"/>
      <c r="O463" s="158"/>
      <c r="P463" s="158"/>
      <c r="Q463" s="158"/>
      <c r="R463" s="158"/>
      <c r="S463" s="158"/>
      <c r="T463" s="158"/>
    </row>
    <row r="464">
      <c r="A464" s="152"/>
      <c r="B464" s="153"/>
      <c r="C464" s="152"/>
      <c r="D464" s="152"/>
      <c r="E464" s="154">
        <v>3154.0</v>
      </c>
      <c r="F464" s="152"/>
      <c r="G464" s="155"/>
      <c r="H464" s="153" t="s">
        <v>1559</v>
      </c>
      <c r="I464" s="153" t="s">
        <v>246</v>
      </c>
      <c r="J464" s="156">
        <v>461.0</v>
      </c>
      <c r="K464" s="157" t="s">
        <v>1560</v>
      </c>
      <c r="L464" s="158" t="s">
        <v>1561</v>
      </c>
      <c r="M464" s="158"/>
      <c r="N464" s="158"/>
      <c r="O464" s="158"/>
      <c r="P464" s="158"/>
      <c r="Q464" s="158"/>
      <c r="R464" s="158"/>
      <c r="S464" s="158"/>
      <c r="T464" s="158"/>
    </row>
    <row r="465">
      <c r="A465" s="152"/>
      <c r="B465" s="153"/>
      <c r="C465" s="152"/>
      <c r="D465" s="152"/>
      <c r="E465" s="154">
        <v>3155.0</v>
      </c>
      <c r="F465" s="152"/>
      <c r="G465" s="155"/>
      <c r="H465" s="153" t="s">
        <v>1562</v>
      </c>
      <c r="I465" s="153" t="s">
        <v>230</v>
      </c>
      <c r="J465" s="156">
        <v>462.0</v>
      </c>
      <c r="K465" s="157" t="s">
        <v>1563</v>
      </c>
      <c r="L465" s="158" t="s">
        <v>1564</v>
      </c>
      <c r="M465" s="158"/>
      <c r="N465" s="158"/>
      <c r="O465" s="158"/>
      <c r="P465" s="158"/>
      <c r="Q465" s="158"/>
      <c r="R465" s="158"/>
      <c r="S465" s="158"/>
      <c r="T465" s="158"/>
    </row>
    <row r="466">
      <c r="A466" s="152"/>
      <c r="B466" s="153"/>
      <c r="C466" s="152"/>
      <c r="D466" s="152"/>
      <c r="E466" s="154">
        <v>3156.0</v>
      </c>
      <c r="F466" s="152"/>
      <c r="G466" s="155"/>
      <c r="H466" s="153" t="s">
        <v>1565</v>
      </c>
      <c r="I466" s="153" t="s">
        <v>230</v>
      </c>
      <c r="J466" s="156">
        <v>463.0</v>
      </c>
      <c r="K466" s="157" t="s">
        <v>1566</v>
      </c>
      <c r="L466" s="158" t="s">
        <v>1567</v>
      </c>
      <c r="M466" s="158"/>
      <c r="N466" s="158"/>
      <c r="O466" s="158"/>
      <c r="P466" s="158"/>
      <c r="Q466" s="158"/>
      <c r="R466" s="158"/>
      <c r="S466" s="158"/>
      <c r="T466" s="158"/>
    </row>
    <row r="467">
      <c r="A467" s="152"/>
      <c r="B467" s="153"/>
      <c r="C467" s="152"/>
      <c r="D467" s="152"/>
      <c r="E467" s="154">
        <v>3161.0</v>
      </c>
      <c r="F467" s="152"/>
      <c r="G467" s="155"/>
      <c r="H467" s="153" t="s">
        <v>1568</v>
      </c>
      <c r="I467" s="153" t="s">
        <v>230</v>
      </c>
      <c r="J467" s="156">
        <v>464.0</v>
      </c>
      <c r="K467" s="157" t="s">
        <v>1569</v>
      </c>
      <c r="L467" s="158" t="s">
        <v>1570</v>
      </c>
      <c r="M467" s="158"/>
      <c r="N467" s="158"/>
      <c r="O467" s="158"/>
      <c r="P467" s="158"/>
      <c r="Q467" s="158"/>
      <c r="R467" s="158"/>
      <c r="S467" s="158"/>
      <c r="T467" s="158"/>
    </row>
    <row r="468">
      <c r="A468" s="152"/>
      <c r="B468" s="153"/>
      <c r="C468" s="152"/>
      <c r="D468" s="152"/>
      <c r="E468" s="154">
        <v>3162.0</v>
      </c>
      <c r="F468" s="152"/>
      <c r="G468" s="155"/>
      <c r="H468" s="153" t="s">
        <v>1571</v>
      </c>
      <c r="I468" s="153" t="s">
        <v>156</v>
      </c>
      <c r="J468" s="156">
        <v>465.0</v>
      </c>
      <c r="K468" s="157" t="s">
        <v>1572</v>
      </c>
      <c r="L468" s="158" t="s">
        <v>1573</v>
      </c>
      <c r="M468" s="158"/>
      <c r="N468" s="158"/>
      <c r="O468" s="158"/>
      <c r="P468" s="158"/>
      <c r="Q468" s="158"/>
      <c r="R468" s="158"/>
      <c r="S468" s="158"/>
      <c r="T468" s="158"/>
    </row>
    <row r="469">
      <c r="A469" s="152"/>
      <c r="B469" s="153"/>
      <c r="C469" s="152"/>
      <c r="D469" s="152"/>
      <c r="E469" s="154">
        <v>3163.0</v>
      </c>
      <c r="F469" s="152"/>
      <c r="G469" s="155"/>
      <c r="H469" s="153" t="s">
        <v>1574</v>
      </c>
      <c r="I469" s="153" t="s">
        <v>156</v>
      </c>
      <c r="J469" s="156">
        <v>466.0</v>
      </c>
      <c r="K469" s="157" t="s">
        <v>1575</v>
      </c>
      <c r="L469" s="158" t="s">
        <v>1576</v>
      </c>
      <c r="M469" s="158"/>
      <c r="N469" s="158"/>
      <c r="O469" s="158"/>
      <c r="P469" s="158"/>
      <c r="Q469" s="158"/>
      <c r="R469" s="158"/>
      <c r="S469" s="158"/>
      <c r="T469" s="158"/>
    </row>
    <row r="470">
      <c r="A470" s="152"/>
      <c r="B470" s="153"/>
      <c r="C470" s="152"/>
      <c r="D470" s="152"/>
      <c r="E470" s="154">
        <v>3164.0</v>
      </c>
      <c r="F470" s="152"/>
      <c r="G470" s="155"/>
      <c r="H470" s="153" t="s">
        <v>1577</v>
      </c>
      <c r="I470" s="153" t="s">
        <v>156</v>
      </c>
      <c r="J470" s="156">
        <v>467.0</v>
      </c>
      <c r="K470" s="157" t="s">
        <v>1578</v>
      </c>
      <c r="L470" s="153" t="s">
        <v>1579</v>
      </c>
      <c r="M470" s="153"/>
      <c r="N470" s="153"/>
      <c r="O470" s="153"/>
      <c r="P470" s="153"/>
      <c r="Q470" s="153"/>
      <c r="R470" s="153"/>
      <c r="S470" s="153"/>
      <c r="T470" s="153"/>
    </row>
    <row r="471">
      <c r="A471" s="152"/>
      <c r="B471" s="153"/>
      <c r="C471" s="152"/>
      <c r="D471" s="152"/>
      <c r="E471" s="154">
        <v>3165.0</v>
      </c>
      <c r="F471" s="152"/>
      <c r="G471" s="155"/>
      <c r="H471" s="153" t="s">
        <v>1580</v>
      </c>
      <c r="I471" s="153" t="s">
        <v>230</v>
      </c>
      <c r="J471" s="156">
        <v>468.0</v>
      </c>
      <c r="K471" s="157" t="s">
        <v>1581</v>
      </c>
      <c r="L471" s="158" t="s">
        <v>1582</v>
      </c>
      <c r="M471" s="158"/>
      <c r="N471" s="158"/>
      <c r="O471" s="158"/>
      <c r="P471" s="158"/>
      <c r="Q471" s="158"/>
      <c r="R471" s="158"/>
      <c r="S471" s="158"/>
      <c r="T471" s="158"/>
    </row>
    <row r="472">
      <c r="A472" s="152"/>
      <c r="B472" s="153"/>
      <c r="C472" s="152"/>
      <c r="D472" s="152"/>
      <c r="E472" s="154">
        <v>3166.0</v>
      </c>
      <c r="F472" s="152"/>
      <c r="G472" s="155"/>
      <c r="H472" s="153" t="s">
        <v>1583</v>
      </c>
      <c r="I472" s="153" t="s">
        <v>156</v>
      </c>
      <c r="J472" s="156">
        <v>469.0</v>
      </c>
      <c r="K472" s="157" t="s">
        <v>1584</v>
      </c>
      <c r="L472" s="158" t="s">
        <v>1585</v>
      </c>
      <c r="M472" s="158"/>
      <c r="N472" s="158"/>
      <c r="O472" s="158"/>
      <c r="P472" s="158"/>
      <c r="Q472" s="158"/>
      <c r="R472" s="158"/>
      <c r="S472" s="158"/>
      <c r="T472" s="158"/>
    </row>
    <row r="473">
      <c r="A473" s="152"/>
      <c r="B473" s="153"/>
      <c r="C473" s="152"/>
      <c r="D473" s="152"/>
      <c r="E473" s="154">
        <v>3211.0</v>
      </c>
      <c r="F473" s="152"/>
      <c r="G473" s="155"/>
      <c r="H473" s="153" t="s">
        <v>1586</v>
      </c>
      <c r="I473" s="153" t="s">
        <v>156</v>
      </c>
      <c r="J473" s="156">
        <v>470.0</v>
      </c>
      <c r="K473" s="157" t="s">
        <v>1587</v>
      </c>
      <c r="L473" s="158" t="s">
        <v>1588</v>
      </c>
      <c r="M473" s="158"/>
      <c r="N473" s="158"/>
      <c r="O473" s="158"/>
      <c r="P473" s="158"/>
      <c r="Q473" s="158"/>
      <c r="R473" s="158"/>
      <c r="S473" s="158"/>
      <c r="T473" s="158"/>
    </row>
    <row r="474">
      <c r="A474" s="152"/>
      <c r="B474" s="153"/>
      <c r="C474" s="152"/>
      <c r="D474" s="152"/>
      <c r="E474" s="154">
        <v>3212.0</v>
      </c>
      <c r="F474" s="152"/>
      <c r="G474" s="155"/>
      <c r="H474" s="153" t="s">
        <v>1589</v>
      </c>
      <c r="I474" s="153" t="s">
        <v>156</v>
      </c>
      <c r="J474" s="156">
        <v>471.0</v>
      </c>
      <c r="K474" s="157" t="s">
        <v>1590</v>
      </c>
      <c r="L474" s="158" t="s">
        <v>1591</v>
      </c>
      <c r="M474" s="158"/>
      <c r="N474" s="158"/>
      <c r="O474" s="158"/>
      <c r="P474" s="158"/>
      <c r="Q474" s="158"/>
      <c r="R474" s="158"/>
      <c r="S474" s="158"/>
      <c r="T474" s="158"/>
    </row>
    <row r="475">
      <c r="A475" s="152"/>
      <c r="B475" s="153"/>
      <c r="C475" s="152"/>
      <c r="D475" s="152"/>
      <c r="E475" s="154">
        <v>3213.0</v>
      </c>
      <c r="F475" s="152"/>
      <c r="G475" s="155"/>
      <c r="H475" s="153" t="s">
        <v>1592</v>
      </c>
      <c r="I475" s="153" t="s">
        <v>156</v>
      </c>
      <c r="J475" s="156">
        <v>472.0</v>
      </c>
      <c r="K475" s="157" t="s">
        <v>1593</v>
      </c>
      <c r="L475" s="158" t="s">
        <v>1594</v>
      </c>
      <c r="M475" s="158"/>
      <c r="N475" s="158"/>
      <c r="O475" s="158"/>
      <c r="P475" s="158"/>
      <c r="Q475" s="158"/>
      <c r="R475" s="158"/>
      <c r="S475" s="158"/>
      <c r="T475" s="158"/>
    </row>
    <row r="476">
      <c r="A476" s="152"/>
      <c r="B476" s="153"/>
      <c r="C476" s="152"/>
      <c r="D476" s="152"/>
      <c r="E476" s="154">
        <v>3214.0</v>
      </c>
      <c r="F476" s="152"/>
      <c r="G476" s="155"/>
      <c r="H476" s="153" t="s">
        <v>1595</v>
      </c>
      <c r="I476" s="153" t="s">
        <v>188</v>
      </c>
      <c r="J476" s="156">
        <v>473.0</v>
      </c>
      <c r="K476" s="157" t="s">
        <v>1596</v>
      </c>
      <c r="L476" s="158" t="s">
        <v>1597</v>
      </c>
      <c r="M476" s="158"/>
      <c r="N476" s="158"/>
      <c r="O476" s="158"/>
      <c r="P476" s="158"/>
      <c r="Q476" s="158"/>
      <c r="R476" s="158"/>
      <c r="S476" s="158"/>
      <c r="T476" s="158"/>
    </row>
    <row r="477">
      <c r="A477" s="152"/>
      <c r="B477" s="153"/>
      <c r="C477" s="152"/>
      <c r="D477" s="152"/>
      <c r="E477" s="154">
        <v>3215.0</v>
      </c>
      <c r="F477" s="152"/>
      <c r="G477" s="155"/>
      <c r="H477" s="153" t="s">
        <v>69</v>
      </c>
      <c r="I477" s="153" t="s">
        <v>188</v>
      </c>
      <c r="J477" s="156">
        <v>474.0</v>
      </c>
      <c r="K477" s="157" t="s">
        <v>1598</v>
      </c>
      <c r="L477" s="158" t="s">
        <v>1599</v>
      </c>
      <c r="M477" s="158"/>
      <c r="N477" s="158"/>
      <c r="O477" s="158"/>
      <c r="P477" s="158"/>
      <c r="Q477" s="158"/>
      <c r="R477" s="158"/>
      <c r="S477" s="158"/>
      <c r="T477" s="158"/>
    </row>
    <row r="478">
      <c r="A478" s="152"/>
      <c r="B478" s="153"/>
      <c r="C478" s="152"/>
      <c r="D478" s="152"/>
      <c r="E478" s="154">
        <v>3216.0</v>
      </c>
      <c r="F478" s="152"/>
      <c r="G478" s="155"/>
      <c r="H478" s="153" t="s">
        <v>1600</v>
      </c>
      <c r="I478" s="153" t="s">
        <v>188</v>
      </c>
      <c r="J478" s="156">
        <v>475.0</v>
      </c>
      <c r="K478" s="157" t="s">
        <v>1601</v>
      </c>
      <c r="L478" s="158" t="s">
        <v>1602</v>
      </c>
      <c r="M478" s="158"/>
      <c r="N478" s="158"/>
      <c r="O478" s="158"/>
      <c r="P478" s="158"/>
      <c r="Q478" s="158"/>
      <c r="R478" s="158"/>
      <c r="S478" s="158"/>
      <c r="T478" s="158"/>
    </row>
    <row r="479">
      <c r="A479" s="152"/>
      <c r="B479" s="153"/>
      <c r="C479" s="152"/>
      <c r="D479" s="152"/>
      <c r="E479" s="154">
        <v>3221.0</v>
      </c>
      <c r="F479" s="152"/>
      <c r="G479" s="155"/>
      <c r="H479" s="153" t="s">
        <v>1603</v>
      </c>
      <c r="I479" s="153" t="s">
        <v>1604</v>
      </c>
      <c r="J479" s="156">
        <v>476.0</v>
      </c>
      <c r="K479" s="157" t="s">
        <v>1605</v>
      </c>
      <c r="L479" s="158" t="s">
        <v>1606</v>
      </c>
      <c r="M479" s="158"/>
      <c r="N479" s="158"/>
      <c r="O479" s="158"/>
      <c r="P479" s="158"/>
      <c r="Q479" s="158"/>
      <c r="R479" s="158"/>
      <c r="S479" s="158"/>
      <c r="T479" s="158"/>
    </row>
    <row r="480">
      <c r="A480" s="152"/>
      <c r="B480" s="153"/>
      <c r="C480" s="152"/>
      <c r="D480" s="152"/>
      <c r="E480" s="154">
        <v>3222.0</v>
      </c>
      <c r="F480" s="152"/>
      <c r="G480" s="155"/>
      <c r="H480" s="153" t="s">
        <v>1607</v>
      </c>
      <c r="I480" s="153" t="s">
        <v>1604</v>
      </c>
      <c r="J480" s="156">
        <v>477.0</v>
      </c>
      <c r="K480" s="157" t="s">
        <v>1608</v>
      </c>
      <c r="L480" s="153" t="s">
        <v>1609</v>
      </c>
      <c r="M480" s="153"/>
      <c r="N480" s="153"/>
      <c r="O480" s="153"/>
      <c r="P480" s="153"/>
      <c r="Q480" s="153"/>
      <c r="R480" s="153"/>
      <c r="S480" s="153"/>
      <c r="T480" s="153"/>
    </row>
    <row r="481">
      <c r="A481" s="152"/>
      <c r="B481" s="153"/>
      <c r="C481" s="152"/>
      <c r="D481" s="152"/>
      <c r="E481" s="154">
        <v>3223.0</v>
      </c>
      <c r="F481" s="152"/>
      <c r="G481" s="155"/>
      <c r="H481" s="153" t="s">
        <v>1610</v>
      </c>
      <c r="I481" s="153" t="s">
        <v>1604</v>
      </c>
      <c r="J481" s="156">
        <v>478.0</v>
      </c>
      <c r="K481" s="157" t="s">
        <v>1611</v>
      </c>
      <c r="L481" s="158" t="s">
        <v>1612</v>
      </c>
      <c r="M481" s="158"/>
      <c r="N481" s="158"/>
      <c r="O481" s="158"/>
      <c r="P481" s="158"/>
      <c r="Q481" s="158"/>
      <c r="R481" s="158"/>
      <c r="S481" s="158"/>
      <c r="T481" s="158"/>
    </row>
    <row r="482">
      <c r="A482" s="152"/>
      <c r="B482" s="153"/>
      <c r="C482" s="152"/>
      <c r="D482" s="152"/>
      <c r="E482" s="154">
        <v>3224.0</v>
      </c>
      <c r="F482" s="152"/>
      <c r="G482" s="155"/>
      <c r="H482" s="153" t="s">
        <v>1613</v>
      </c>
      <c r="I482" s="153" t="s">
        <v>1604</v>
      </c>
      <c r="J482" s="156">
        <v>479.0</v>
      </c>
      <c r="K482" s="157" t="s">
        <v>1614</v>
      </c>
      <c r="L482" s="158" t="s">
        <v>1615</v>
      </c>
      <c r="M482" s="158"/>
      <c r="N482" s="158"/>
      <c r="O482" s="158"/>
      <c r="P482" s="158"/>
      <c r="Q482" s="158"/>
      <c r="R482" s="158"/>
      <c r="S482" s="158"/>
      <c r="T482" s="158"/>
    </row>
    <row r="483">
      <c r="A483" s="152"/>
      <c r="B483" s="153"/>
      <c r="C483" s="152"/>
      <c r="D483" s="152"/>
      <c r="E483" s="154">
        <v>3225.0</v>
      </c>
      <c r="F483" s="152"/>
      <c r="G483" s="155"/>
      <c r="H483" s="153" t="s">
        <v>1616</v>
      </c>
      <c r="I483" s="153" t="s">
        <v>1604</v>
      </c>
      <c r="J483" s="156">
        <v>480.0</v>
      </c>
      <c r="K483" s="157" t="s">
        <v>1617</v>
      </c>
      <c r="L483" s="153" t="s">
        <v>1618</v>
      </c>
      <c r="M483" s="153"/>
      <c r="N483" s="153"/>
      <c r="O483" s="153"/>
      <c r="P483" s="153"/>
      <c r="Q483" s="153"/>
      <c r="R483" s="153"/>
      <c r="S483" s="153"/>
      <c r="T483" s="153"/>
    </row>
    <row r="484">
      <c r="A484" s="152"/>
      <c r="B484" s="153"/>
      <c r="C484" s="152"/>
      <c r="D484" s="152"/>
      <c r="E484" s="154">
        <v>3226.0</v>
      </c>
      <c r="F484" s="152"/>
      <c r="G484" s="155"/>
      <c r="H484" s="153" t="s">
        <v>1619</v>
      </c>
      <c r="I484" s="153" t="s">
        <v>1604</v>
      </c>
      <c r="J484" s="156">
        <v>481.0</v>
      </c>
      <c r="K484" s="157" t="s">
        <v>1620</v>
      </c>
      <c r="L484" s="153" t="s">
        <v>1621</v>
      </c>
      <c r="M484" s="153"/>
      <c r="N484" s="153"/>
      <c r="O484" s="153"/>
      <c r="P484" s="153"/>
      <c r="Q484" s="153"/>
      <c r="R484" s="153"/>
      <c r="S484" s="153"/>
      <c r="T484" s="153"/>
    </row>
    <row r="485">
      <c r="A485" s="152"/>
      <c r="B485" s="153"/>
      <c r="C485" s="152"/>
      <c r="D485" s="152"/>
      <c r="E485" s="154">
        <v>3231.0</v>
      </c>
      <c r="F485" s="152"/>
      <c r="G485" s="155"/>
      <c r="H485" s="153" t="s">
        <v>1622</v>
      </c>
      <c r="I485" s="153" t="s">
        <v>1604</v>
      </c>
      <c r="J485" s="156">
        <v>482.0</v>
      </c>
      <c r="K485" s="157" t="s">
        <v>1623</v>
      </c>
      <c r="L485" s="158" t="s">
        <v>1624</v>
      </c>
      <c r="M485" s="158"/>
      <c r="N485" s="158"/>
      <c r="O485" s="158"/>
      <c r="P485" s="158"/>
      <c r="Q485" s="158"/>
      <c r="R485" s="158"/>
      <c r="S485" s="158"/>
      <c r="T485" s="158"/>
    </row>
    <row r="486">
      <c r="A486" s="152"/>
      <c r="B486" s="153"/>
      <c r="C486" s="152"/>
      <c r="D486" s="152"/>
      <c r="E486" s="154">
        <v>3232.0</v>
      </c>
      <c r="F486" s="152"/>
      <c r="G486" s="155"/>
      <c r="H486" s="153" t="s">
        <v>1625</v>
      </c>
      <c r="I486" s="153" t="s">
        <v>156</v>
      </c>
      <c r="J486" s="156">
        <v>483.0</v>
      </c>
      <c r="K486" s="157" t="s">
        <v>1626</v>
      </c>
      <c r="L486" s="158" t="s">
        <v>1627</v>
      </c>
      <c r="M486" s="158"/>
      <c r="N486" s="158"/>
      <c r="O486" s="158"/>
      <c r="P486" s="158"/>
      <c r="Q486" s="158"/>
      <c r="R486" s="158"/>
      <c r="S486" s="158"/>
      <c r="T486" s="158"/>
    </row>
    <row r="487">
      <c r="A487" s="152"/>
      <c r="B487" s="153"/>
      <c r="C487" s="152"/>
      <c r="D487" s="152"/>
      <c r="E487" s="154">
        <v>3233.0</v>
      </c>
      <c r="F487" s="152"/>
      <c r="G487" s="155"/>
      <c r="H487" s="153" t="s">
        <v>1628</v>
      </c>
      <c r="I487" s="153" t="s">
        <v>463</v>
      </c>
      <c r="J487" s="156">
        <v>484.0</v>
      </c>
      <c r="K487" s="157" t="s">
        <v>1629</v>
      </c>
      <c r="L487" s="158" t="s">
        <v>1630</v>
      </c>
      <c r="M487" s="158"/>
      <c r="N487" s="158"/>
      <c r="O487" s="158"/>
      <c r="P487" s="158"/>
      <c r="Q487" s="158"/>
      <c r="R487" s="158"/>
      <c r="S487" s="158"/>
      <c r="T487" s="158"/>
    </row>
    <row r="488">
      <c r="A488" s="152"/>
      <c r="B488" s="153"/>
      <c r="C488" s="152"/>
      <c r="D488" s="152"/>
      <c r="E488" s="154">
        <v>3234.0</v>
      </c>
      <c r="F488" s="152"/>
      <c r="G488" s="155"/>
      <c r="H488" s="153" t="s">
        <v>1631</v>
      </c>
      <c r="I488" s="153" t="s">
        <v>608</v>
      </c>
      <c r="J488" s="156">
        <v>485.0</v>
      </c>
      <c r="K488" s="157" t="s">
        <v>1632</v>
      </c>
      <c r="L488" s="158" t="s">
        <v>1633</v>
      </c>
      <c r="M488" s="158"/>
      <c r="N488" s="158"/>
      <c r="O488" s="158"/>
      <c r="P488" s="158"/>
      <c r="Q488" s="158"/>
      <c r="R488" s="158"/>
      <c r="S488" s="158"/>
      <c r="T488" s="158"/>
    </row>
    <row r="489">
      <c r="A489" s="152"/>
      <c r="B489" s="153"/>
      <c r="C489" s="152"/>
      <c r="D489" s="152"/>
      <c r="E489" s="154">
        <v>3235.0</v>
      </c>
      <c r="F489" s="152"/>
      <c r="G489" s="155"/>
      <c r="H489" s="153" t="s">
        <v>1634</v>
      </c>
      <c r="I489" s="153" t="s">
        <v>156</v>
      </c>
      <c r="J489" s="156">
        <v>486.0</v>
      </c>
      <c r="K489" s="157" t="s">
        <v>1635</v>
      </c>
      <c r="L489" s="158" t="s">
        <v>1636</v>
      </c>
      <c r="M489" s="158"/>
      <c r="N489" s="158"/>
      <c r="O489" s="158"/>
      <c r="P489" s="158"/>
      <c r="Q489" s="158"/>
      <c r="R489" s="158"/>
      <c r="S489" s="158"/>
      <c r="T489" s="158"/>
    </row>
    <row r="490">
      <c r="A490" s="152"/>
      <c r="B490" s="153"/>
      <c r="C490" s="152"/>
      <c r="D490" s="152"/>
      <c r="E490" s="154">
        <v>3236.0</v>
      </c>
      <c r="F490" s="152"/>
      <c r="G490" s="155"/>
      <c r="H490" s="153" t="s">
        <v>1637</v>
      </c>
      <c r="I490" s="153" t="s">
        <v>156</v>
      </c>
      <c r="J490" s="156">
        <v>487.0</v>
      </c>
      <c r="K490" s="157" t="s">
        <v>1638</v>
      </c>
      <c r="L490" s="158" t="s">
        <v>1639</v>
      </c>
      <c r="M490" s="158"/>
      <c r="N490" s="158"/>
      <c r="O490" s="158"/>
      <c r="P490" s="158"/>
      <c r="Q490" s="158"/>
      <c r="R490" s="158"/>
      <c r="S490" s="158"/>
      <c r="T490" s="158"/>
    </row>
    <row r="491">
      <c r="A491" s="152"/>
      <c r="B491" s="153"/>
      <c r="C491" s="152"/>
      <c r="D491" s="152"/>
      <c r="E491" s="154">
        <v>3241.0</v>
      </c>
      <c r="F491" s="152"/>
      <c r="G491" s="155"/>
      <c r="H491" s="153" t="s">
        <v>1640</v>
      </c>
      <c r="I491" s="153" t="s">
        <v>156</v>
      </c>
      <c r="J491" s="156">
        <v>488.0</v>
      </c>
      <c r="K491" s="157" t="s">
        <v>1641</v>
      </c>
      <c r="L491" s="158" t="s">
        <v>1642</v>
      </c>
      <c r="M491" s="158"/>
      <c r="N491" s="158"/>
      <c r="O491" s="158"/>
      <c r="P491" s="158"/>
      <c r="Q491" s="158"/>
      <c r="R491" s="158"/>
      <c r="S491" s="158"/>
      <c r="T491" s="158"/>
    </row>
    <row r="492">
      <c r="A492" s="152"/>
      <c r="B492" s="153"/>
      <c r="C492" s="152"/>
      <c r="D492" s="152"/>
      <c r="E492" s="154">
        <v>3242.0</v>
      </c>
      <c r="F492" s="152"/>
      <c r="G492" s="155"/>
      <c r="H492" s="153" t="s">
        <v>1643</v>
      </c>
      <c r="I492" s="153" t="s">
        <v>156</v>
      </c>
      <c r="J492" s="156">
        <v>489.0</v>
      </c>
      <c r="K492" s="157" t="s">
        <v>1644</v>
      </c>
      <c r="L492" s="158" t="s">
        <v>1645</v>
      </c>
      <c r="M492" s="158"/>
      <c r="N492" s="158"/>
      <c r="O492" s="158"/>
      <c r="P492" s="158"/>
      <c r="Q492" s="158"/>
      <c r="R492" s="158"/>
      <c r="S492" s="158"/>
      <c r="T492" s="158"/>
    </row>
    <row r="493">
      <c r="A493" s="152"/>
      <c r="B493" s="153"/>
      <c r="C493" s="152"/>
      <c r="D493" s="152"/>
      <c r="E493" s="154">
        <v>3243.0</v>
      </c>
      <c r="F493" s="152"/>
      <c r="G493" s="155"/>
      <c r="H493" s="153" t="s">
        <v>1646</v>
      </c>
      <c r="I493" s="153" t="s">
        <v>156</v>
      </c>
      <c r="J493" s="156">
        <v>490.0</v>
      </c>
      <c r="K493" s="157" t="s">
        <v>1647</v>
      </c>
      <c r="L493" s="158" t="s">
        <v>1648</v>
      </c>
      <c r="M493" s="158"/>
      <c r="N493" s="158"/>
      <c r="O493" s="158"/>
      <c r="P493" s="158"/>
      <c r="Q493" s="158"/>
      <c r="R493" s="158"/>
      <c r="S493" s="158"/>
      <c r="T493" s="158"/>
    </row>
    <row r="494">
      <c r="A494" s="152"/>
      <c r="B494" s="153"/>
      <c r="C494" s="152"/>
      <c r="D494" s="152"/>
      <c r="E494" s="154">
        <v>3244.0</v>
      </c>
      <c r="F494" s="152"/>
      <c r="G494" s="155"/>
      <c r="H494" s="153" t="s">
        <v>1649</v>
      </c>
      <c r="I494" s="153" t="s">
        <v>156</v>
      </c>
      <c r="J494" s="156">
        <v>491.0</v>
      </c>
      <c r="K494" s="157" t="s">
        <v>1650</v>
      </c>
      <c r="L494" s="158" t="s">
        <v>1651</v>
      </c>
      <c r="M494" s="158"/>
      <c r="N494" s="158"/>
      <c r="O494" s="158"/>
      <c r="P494" s="158"/>
      <c r="Q494" s="158"/>
      <c r="R494" s="158"/>
      <c r="S494" s="158"/>
      <c r="T494" s="158"/>
    </row>
    <row r="495">
      <c r="A495" s="152"/>
      <c r="B495" s="153"/>
      <c r="C495" s="152"/>
      <c r="D495" s="152"/>
      <c r="E495" s="154">
        <v>3245.0</v>
      </c>
      <c r="F495" s="152"/>
      <c r="G495" s="155"/>
      <c r="H495" s="153" t="s">
        <v>1652</v>
      </c>
      <c r="I495" s="153" t="s">
        <v>167</v>
      </c>
      <c r="J495" s="156">
        <v>492.0</v>
      </c>
      <c r="K495" s="157" t="s">
        <v>1653</v>
      </c>
      <c r="L495" s="158" t="s">
        <v>1654</v>
      </c>
      <c r="M495" s="158"/>
      <c r="N495" s="158"/>
      <c r="O495" s="158"/>
      <c r="P495" s="158"/>
      <c r="Q495" s="158"/>
      <c r="R495" s="158"/>
      <c r="S495" s="158"/>
      <c r="T495" s="158"/>
    </row>
    <row r="496">
      <c r="A496" s="152"/>
      <c r="B496" s="153"/>
      <c r="C496" s="152"/>
      <c r="D496" s="152"/>
      <c r="E496" s="154">
        <v>3246.0</v>
      </c>
      <c r="F496" s="152"/>
      <c r="G496" s="155"/>
      <c r="H496" s="160" t="s">
        <v>1655</v>
      </c>
      <c r="I496" s="160" t="s">
        <v>167</v>
      </c>
      <c r="J496" s="166">
        <v>1228.0</v>
      </c>
      <c r="K496" s="167" t="s">
        <v>1656</v>
      </c>
      <c r="L496" s="158"/>
      <c r="M496" s="158"/>
      <c r="N496" s="158"/>
      <c r="O496" s="158"/>
      <c r="P496" s="158"/>
      <c r="Q496" s="158"/>
      <c r="R496" s="158"/>
      <c r="S496" s="158"/>
      <c r="T496" s="158"/>
    </row>
    <row r="497">
      <c r="A497" s="152"/>
      <c r="B497" s="153"/>
      <c r="C497" s="152"/>
      <c r="D497" s="152"/>
      <c r="E497" s="154">
        <v>3251.0</v>
      </c>
      <c r="F497" s="152"/>
      <c r="G497" s="155"/>
      <c r="H497" s="153" t="s">
        <v>1657</v>
      </c>
      <c r="I497" s="153" t="s">
        <v>453</v>
      </c>
      <c r="J497" s="156">
        <v>493.0</v>
      </c>
      <c r="K497" s="157" t="s">
        <v>1658</v>
      </c>
      <c r="L497" s="158" t="s">
        <v>1659</v>
      </c>
      <c r="M497" s="158"/>
      <c r="N497" s="158"/>
      <c r="O497" s="158"/>
      <c r="P497" s="158"/>
      <c r="Q497" s="158"/>
      <c r="R497" s="158"/>
      <c r="S497" s="158"/>
      <c r="T497" s="158"/>
    </row>
    <row r="498">
      <c r="A498" s="152"/>
      <c r="B498" s="153"/>
      <c r="C498" s="152"/>
      <c r="D498" s="152"/>
      <c r="E498" s="154">
        <v>3252.0</v>
      </c>
      <c r="F498" s="152"/>
      <c r="G498" s="155"/>
      <c r="H498" s="153" t="s">
        <v>1660</v>
      </c>
      <c r="I498" s="153" t="s">
        <v>167</v>
      </c>
      <c r="J498" s="156">
        <v>494.0</v>
      </c>
      <c r="K498" s="157" t="s">
        <v>1661</v>
      </c>
      <c r="L498" s="158" t="s">
        <v>1662</v>
      </c>
      <c r="M498" s="158"/>
      <c r="N498" s="158"/>
      <c r="O498" s="158"/>
      <c r="P498" s="158"/>
      <c r="Q498" s="158"/>
      <c r="R498" s="158"/>
      <c r="S498" s="158"/>
      <c r="T498" s="158"/>
    </row>
    <row r="499">
      <c r="A499" s="152"/>
      <c r="B499" s="153"/>
      <c r="C499" s="152"/>
      <c r="D499" s="152"/>
      <c r="E499" s="154">
        <v>3253.0</v>
      </c>
      <c r="F499" s="152"/>
      <c r="G499" s="155"/>
      <c r="H499" s="153" t="s">
        <v>1663</v>
      </c>
      <c r="I499" s="153" t="s">
        <v>1084</v>
      </c>
      <c r="J499" s="156">
        <v>495.0</v>
      </c>
      <c r="K499" s="157" t="s">
        <v>1664</v>
      </c>
      <c r="L499" s="158" t="s">
        <v>1665</v>
      </c>
      <c r="M499" s="158"/>
      <c r="N499" s="158"/>
      <c r="O499" s="158"/>
      <c r="P499" s="158"/>
      <c r="Q499" s="158"/>
      <c r="R499" s="158"/>
      <c r="S499" s="158"/>
      <c r="T499" s="158"/>
    </row>
    <row r="500">
      <c r="A500" s="152"/>
      <c r="B500" s="153"/>
      <c r="C500" s="152"/>
      <c r="D500" s="152"/>
      <c r="E500" s="154">
        <v>3254.0</v>
      </c>
      <c r="F500" s="152"/>
      <c r="G500" s="155"/>
      <c r="H500" s="153" t="s">
        <v>1666</v>
      </c>
      <c r="I500" s="153" t="s">
        <v>167</v>
      </c>
      <c r="J500" s="156">
        <v>496.0</v>
      </c>
      <c r="K500" s="157" t="s">
        <v>1667</v>
      </c>
      <c r="L500" s="158" t="s">
        <v>1668</v>
      </c>
      <c r="M500" s="158"/>
      <c r="N500" s="158"/>
      <c r="O500" s="158"/>
      <c r="P500" s="158"/>
      <c r="Q500" s="158"/>
      <c r="R500" s="158"/>
      <c r="S500" s="158"/>
      <c r="T500" s="158"/>
    </row>
    <row r="501">
      <c r="A501" s="152"/>
      <c r="B501" s="153"/>
      <c r="C501" s="152"/>
      <c r="D501" s="152"/>
      <c r="E501" s="154">
        <v>3255.0</v>
      </c>
      <c r="F501" s="152"/>
      <c r="G501" s="155"/>
      <c r="H501" s="153" t="s">
        <v>1669</v>
      </c>
      <c r="I501" s="153" t="s">
        <v>246</v>
      </c>
      <c r="J501" s="156">
        <v>497.0</v>
      </c>
      <c r="K501" s="157" t="s">
        <v>1670</v>
      </c>
      <c r="L501" s="158" t="s">
        <v>1671</v>
      </c>
      <c r="M501" s="158"/>
      <c r="N501" s="158"/>
      <c r="O501" s="158"/>
      <c r="P501" s="158"/>
      <c r="Q501" s="158"/>
      <c r="R501" s="158"/>
      <c r="S501" s="158"/>
      <c r="T501" s="158"/>
    </row>
    <row r="502">
      <c r="A502" s="152"/>
      <c r="B502" s="153"/>
      <c r="C502" s="152"/>
      <c r="D502" s="152"/>
      <c r="E502" s="154">
        <v>3256.0</v>
      </c>
      <c r="F502" s="152"/>
      <c r="G502" s="155"/>
      <c r="H502" s="153" t="s">
        <v>1672</v>
      </c>
      <c r="I502" s="153" t="s">
        <v>188</v>
      </c>
      <c r="J502" s="156">
        <v>498.0</v>
      </c>
      <c r="K502" s="157" t="s">
        <v>1673</v>
      </c>
      <c r="L502" s="158" t="s">
        <v>1674</v>
      </c>
      <c r="M502" s="158"/>
      <c r="N502" s="158"/>
      <c r="O502" s="158"/>
      <c r="P502" s="158"/>
      <c r="Q502" s="158"/>
      <c r="R502" s="158"/>
      <c r="S502" s="158"/>
      <c r="T502" s="158"/>
    </row>
    <row r="503">
      <c r="A503" s="152"/>
      <c r="B503" s="153"/>
      <c r="C503" s="152"/>
      <c r="D503" s="152"/>
      <c r="E503" s="154">
        <v>3261.0</v>
      </c>
      <c r="F503" s="152"/>
      <c r="G503" s="155"/>
      <c r="H503" s="160" t="s">
        <v>1675</v>
      </c>
      <c r="I503" s="153"/>
      <c r="J503" s="166">
        <v>1227.0</v>
      </c>
      <c r="K503" s="157"/>
      <c r="L503" s="158"/>
      <c r="M503" s="158"/>
      <c r="N503" s="158"/>
      <c r="O503" s="158"/>
      <c r="P503" s="158"/>
      <c r="Q503" s="158"/>
      <c r="R503" s="158"/>
      <c r="S503" s="158"/>
      <c r="T503" s="158"/>
    </row>
    <row r="504">
      <c r="A504" s="152"/>
      <c r="B504" s="153"/>
      <c r="C504" s="152"/>
      <c r="D504" s="152"/>
      <c r="E504" s="154">
        <v>3262.0</v>
      </c>
      <c r="F504" s="152"/>
      <c r="G504" s="155"/>
      <c r="H504" s="153" t="s">
        <v>1676</v>
      </c>
      <c r="I504" s="153" t="s">
        <v>1084</v>
      </c>
      <c r="J504" s="156">
        <v>499.0</v>
      </c>
      <c r="K504" s="157" t="s">
        <v>1677</v>
      </c>
      <c r="L504" s="158" t="s">
        <v>1678</v>
      </c>
      <c r="M504" s="158"/>
      <c r="N504" s="158"/>
      <c r="O504" s="158"/>
      <c r="P504" s="158"/>
      <c r="Q504" s="158"/>
      <c r="R504" s="158"/>
      <c r="S504" s="158"/>
      <c r="T504" s="158"/>
    </row>
    <row r="505">
      <c r="A505" s="152"/>
      <c r="B505" s="153"/>
      <c r="C505" s="152"/>
      <c r="D505" s="152"/>
      <c r="E505" s="154">
        <v>3263.0</v>
      </c>
      <c r="F505" s="152"/>
      <c r="G505" s="155"/>
      <c r="H505" s="153" t="s">
        <v>1679</v>
      </c>
      <c r="I505" s="153" t="s">
        <v>1084</v>
      </c>
      <c r="J505" s="156">
        <v>500.0</v>
      </c>
      <c r="K505" s="157" t="s">
        <v>1680</v>
      </c>
      <c r="L505" s="158" t="s">
        <v>1681</v>
      </c>
      <c r="M505" s="158"/>
      <c r="N505" s="158"/>
      <c r="O505" s="158"/>
      <c r="P505" s="158"/>
      <c r="Q505" s="158"/>
      <c r="R505" s="158"/>
      <c r="S505" s="158"/>
      <c r="T505" s="158"/>
    </row>
    <row r="506">
      <c r="A506" s="152"/>
      <c r="B506" s="153"/>
      <c r="C506" s="152"/>
      <c r="D506" s="152"/>
      <c r="E506" s="154">
        <v>3264.0</v>
      </c>
      <c r="F506" s="152"/>
      <c r="G506" s="155"/>
      <c r="H506" s="153" t="s">
        <v>1682</v>
      </c>
      <c r="I506" s="153" t="s">
        <v>1084</v>
      </c>
      <c r="J506" s="156">
        <v>501.0</v>
      </c>
      <c r="K506" s="157" t="s">
        <v>1683</v>
      </c>
      <c r="L506" s="158" t="s">
        <v>1684</v>
      </c>
      <c r="M506" s="158"/>
      <c r="N506" s="158"/>
      <c r="O506" s="158"/>
      <c r="P506" s="158"/>
      <c r="Q506" s="158"/>
      <c r="R506" s="158"/>
      <c r="S506" s="158"/>
      <c r="T506" s="158"/>
    </row>
    <row r="507">
      <c r="A507" s="152"/>
      <c r="B507" s="153"/>
      <c r="C507" s="152"/>
      <c r="D507" s="152"/>
      <c r="E507" s="154">
        <v>3265.0</v>
      </c>
      <c r="F507" s="152"/>
      <c r="G507" s="155"/>
      <c r="H507" s="153" t="s">
        <v>1685</v>
      </c>
      <c r="I507" s="153" t="s">
        <v>1084</v>
      </c>
      <c r="J507" s="156">
        <v>502.0</v>
      </c>
      <c r="K507" s="157" t="s">
        <v>1686</v>
      </c>
      <c r="L507" s="158" t="s">
        <v>1687</v>
      </c>
      <c r="M507" s="158"/>
      <c r="N507" s="158"/>
      <c r="O507" s="158"/>
      <c r="P507" s="158"/>
      <c r="Q507" s="158"/>
      <c r="R507" s="158"/>
      <c r="S507" s="158"/>
      <c r="T507" s="158"/>
    </row>
    <row r="508">
      <c r="A508" s="152"/>
      <c r="B508" s="153"/>
      <c r="C508" s="152"/>
      <c r="D508" s="152"/>
      <c r="E508" s="154">
        <v>3266.0</v>
      </c>
      <c r="F508" s="152"/>
      <c r="G508" s="155"/>
      <c r="H508" s="153" t="s">
        <v>1688</v>
      </c>
      <c r="I508" s="153" t="s">
        <v>156</v>
      </c>
      <c r="J508" s="156">
        <v>503.0</v>
      </c>
      <c r="K508" s="157" t="s">
        <v>1689</v>
      </c>
      <c r="L508" s="158" t="s">
        <v>1690</v>
      </c>
      <c r="M508" s="158"/>
      <c r="N508" s="158"/>
      <c r="O508" s="158"/>
      <c r="P508" s="158"/>
      <c r="Q508" s="158"/>
      <c r="R508" s="158"/>
      <c r="S508" s="158"/>
      <c r="T508" s="158"/>
    </row>
    <row r="509">
      <c r="A509" s="152"/>
      <c r="B509" s="153"/>
      <c r="C509" s="152"/>
      <c r="D509" s="152"/>
      <c r="E509" s="154">
        <v>3311.0</v>
      </c>
      <c r="F509" s="152"/>
      <c r="G509" s="155"/>
      <c r="H509" s="153" t="s">
        <v>1691</v>
      </c>
      <c r="I509" s="153" t="s">
        <v>207</v>
      </c>
      <c r="J509" s="156">
        <v>504.0</v>
      </c>
      <c r="K509" s="157" t="s">
        <v>1692</v>
      </c>
      <c r="L509" s="158" t="s">
        <v>1693</v>
      </c>
      <c r="M509" s="158"/>
      <c r="N509" s="158"/>
      <c r="O509" s="158"/>
      <c r="P509" s="158"/>
      <c r="Q509" s="158"/>
      <c r="R509" s="158"/>
      <c r="S509" s="158"/>
      <c r="T509" s="158"/>
    </row>
    <row r="510">
      <c r="A510" s="152"/>
      <c r="B510" s="153"/>
      <c r="C510" s="152"/>
      <c r="D510" s="152"/>
      <c r="E510" s="154">
        <v>3312.0</v>
      </c>
      <c r="F510" s="152"/>
      <c r="G510" s="155"/>
      <c r="H510" s="153" t="s">
        <v>1694</v>
      </c>
      <c r="I510" s="153" t="s">
        <v>1054</v>
      </c>
      <c r="J510" s="156">
        <v>505.0</v>
      </c>
      <c r="K510" s="157" t="s">
        <v>1695</v>
      </c>
      <c r="L510" s="158" t="s">
        <v>1696</v>
      </c>
      <c r="M510" s="158"/>
      <c r="N510" s="158"/>
      <c r="O510" s="158"/>
      <c r="P510" s="158"/>
      <c r="Q510" s="158"/>
      <c r="R510" s="158"/>
      <c r="S510" s="158"/>
      <c r="T510" s="158"/>
    </row>
    <row r="511">
      <c r="A511" s="152"/>
      <c r="B511" s="153"/>
      <c r="C511" s="152"/>
      <c r="D511" s="152"/>
      <c r="E511" s="154">
        <v>3313.0</v>
      </c>
      <c r="F511" s="152"/>
      <c r="G511" s="155"/>
      <c r="H511" s="153" t="s">
        <v>1697</v>
      </c>
      <c r="I511" s="153" t="s">
        <v>1054</v>
      </c>
      <c r="J511" s="156">
        <v>506.0</v>
      </c>
      <c r="K511" s="157" t="s">
        <v>1698</v>
      </c>
      <c r="L511" s="158" t="s">
        <v>1699</v>
      </c>
      <c r="M511" s="158"/>
      <c r="N511" s="158"/>
      <c r="O511" s="158"/>
      <c r="P511" s="158"/>
      <c r="Q511" s="158"/>
      <c r="R511" s="158"/>
      <c r="S511" s="158"/>
      <c r="T511" s="158"/>
    </row>
    <row r="512">
      <c r="A512" s="152"/>
      <c r="B512" s="153"/>
      <c r="C512" s="152"/>
      <c r="D512" s="152"/>
      <c r="E512" s="154">
        <v>3314.0</v>
      </c>
      <c r="F512" s="152"/>
      <c r="G512" s="155"/>
      <c r="H512" s="153" t="s">
        <v>1700</v>
      </c>
      <c r="I512" s="153" t="s">
        <v>156</v>
      </c>
      <c r="J512" s="156">
        <v>507.0</v>
      </c>
      <c r="K512" s="157" t="s">
        <v>1701</v>
      </c>
      <c r="L512" s="158" t="s">
        <v>1702</v>
      </c>
      <c r="M512" s="158"/>
      <c r="N512" s="158"/>
      <c r="O512" s="158"/>
      <c r="P512" s="158"/>
      <c r="Q512" s="158"/>
      <c r="R512" s="158"/>
      <c r="S512" s="158"/>
      <c r="T512" s="158"/>
    </row>
    <row r="513">
      <c r="A513" s="152"/>
      <c r="B513" s="153"/>
      <c r="C513" s="152"/>
      <c r="D513" s="152"/>
      <c r="E513" s="154">
        <v>3315.0</v>
      </c>
      <c r="F513" s="152"/>
      <c r="G513" s="155"/>
      <c r="H513" s="153" t="s">
        <v>1703</v>
      </c>
      <c r="I513" s="153" t="s">
        <v>1435</v>
      </c>
      <c r="J513" s="156">
        <v>508.0</v>
      </c>
      <c r="K513" s="157" t="s">
        <v>1704</v>
      </c>
      <c r="L513" s="158" t="s">
        <v>1705</v>
      </c>
      <c r="M513" s="158"/>
      <c r="N513" s="158"/>
      <c r="O513" s="158"/>
      <c r="P513" s="158"/>
      <c r="Q513" s="158"/>
      <c r="R513" s="158"/>
      <c r="S513" s="158"/>
      <c r="T513" s="158"/>
    </row>
    <row r="514">
      <c r="A514" s="152"/>
      <c r="B514" s="153"/>
      <c r="C514" s="152"/>
      <c r="D514" s="152"/>
      <c r="E514" s="154">
        <v>3316.0</v>
      </c>
      <c r="F514" s="152"/>
      <c r="G514" s="155"/>
      <c r="H514" s="153" t="s">
        <v>1706</v>
      </c>
      <c r="I514" s="153" t="s">
        <v>1054</v>
      </c>
      <c r="J514" s="156">
        <v>509.0</v>
      </c>
      <c r="K514" s="157" t="s">
        <v>1707</v>
      </c>
      <c r="L514" s="158" t="s">
        <v>1708</v>
      </c>
      <c r="M514" s="158"/>
      <c r="N514" s="158"/>
      <c r="O514" s="158"/>
      <c r="P514" s="158"/>
      <c r="Q514" s="158"/>
      <c r="R514" s="158"/>
      <c r="S514" s="158"/>
      <c r="T514" s="158"/>
    </row>
    <row r="515">
      <c r="A515" s="152"/>
      <c r="B515" s="153"/>
      <c r="C515" s="152"/>
      <c r="D515" s="152"/>
      <c r="E515" s="154">
        <v>3321.0</v>
      </c>
      <c r="F515" s="152"/>
      <c r="G515" s="155"/>
      <c r="H515" s="153" t="s">
        <v>1709</v>
      </c>
      <c r="I515" s="153" t="s">
        <v>631</v>
      </c>
      <c r="J515" s="156">
        <v>510.0</v>
      </c>
      <c r="K515" s="157" t="s">
        <v>1710</v>
      </c>
      <c r="L515" s="158" t="s">
        <v>1711</v>
      </c>
      <c r="M515" s="158"/>
      <c r="N515" s="158"/>
      <c r="O515" s="158"/>
      <c r="P515" s="158"/>
      <c r="Q515" s="158"/>
      <c r="R515" s="158"/>
      <c r="S515" s="158"/>
      <c r="T515" s="158"/>
    </row>
    <row r="516">
      <c r="A516" s="152"/>
      <c r="B516" s="153"/>
      <c r="C516" s="152"/>
      <c r="D516" s="152"/>
      <c r="E516" s="154">
        <v>3322.0</v>
      </c>
      <c r="F516" s="152"/>
      <c r="G516" s="155"/>
      <c r="H516" s="153" t="s">
        <v>1712</v>
      </c>
      <c r="I516" s="153" t="s">
        <v>1054</v>
      </c>
      <c r="J516" s="156">
        <v>511.0</v>
      </c>
      <c r="K516" s="157" t="s">
        <v>1713</v>
      </c>
      <c r="L516" s="158" t="s">
        <v>1714</v>
      </c>
      <c r="M516" s="158"/>
      <c r="N516" s="158"/>
      <c r="O516" s="158"/>
      <c r="P516" s="158"/>
      <c r="Q516" s="158"/>
      <c r="R516" s="158"/>
      <c r="S516" s="158"/>
      <c r="T516" s="158"/>
    </row>
    <row r="517">
      <c r="A517" s="152"/>
      <c r="B517" s="153"/>
      <c r="C517" s="152"/>
      <c r="D517" s="152"/>
      <c r="E517" s="154">
        <v>3323.0</v>
      </c>
      <c r="F517" s="152"/>
      <c r="G517" s="155"/>
      <c r="H517" s="153" t="s">
        <v>1715</v>
      </c>
      <c r="I517" s="153" t="s">
        <v>167</v>
      </c>
      <c r="J517" s="156">
        <v>512.0</v>
      </c>
      <c r="K517" s="157" t="s">
        <v>1716</v>
      </c>
      <c r="L517" s="158" t="s">
        <v>1717</v>
      </c>
      <c r="M517" s="158"/>
      <c r="N517" s="158"/>
      <c r="O517" s="158"/>
      <c r="P517" s="158"/>
      <c r="Q517" s="158"/>
      <c r="R517" s="158"/>
      <c r="S517" s="158"/>
      <c r="T517" s="158"/>
    </row>
    <row r="518">
      <c r="A518" s="152"/>
      <c r="B518" s="153"/>
      <c r="C518" s="152"/>
      <c r="D518" s="152"/>
      <c r="E518" s="154">
        <v>3324.0</v>
      </c>
      <c r="F518" s="152"/>
      <c r="G518" s="155"/>
      <c r="H518" s="153" t="s">
        <v>1718</v>
      </c>
      <c r="I518" s="153" t="s">
        <v>1084</v>
      </c>
      <c r="J518" s="156">
        <v>513.0</v>
      </c>
      <c r="K518" s="157" t="s">
        <v>1719</v>
      </c>
      <c r="L518" s="158" t="s">
        <v>1720</v>
      </c>
      <c r="M518" s="158"/>
      <c r="N518" s="158"/>
      <c r="O518" s="158"/>
      <c r="P518" s="158"/>
      <c r="Q518" s="158"/>
      <c r="R518" s="158"/>
      <c r="S518" s="158"/>
      <c r="T518" s="158"/>
    </row>
    <row r="519">
      <c r="A519" s="152"/>
      <c r="B519" s="153"/>
      <c r="C519" s="152"/>
      <c r="D519" s="152"/>
      <c r="E519" s="154">
        <v>3325.0</v>
      </c>
      <c r="F519" s="152"/>
      <c r="G519" s="155"/>
      <c r="H519" s="153" t="s">
        <v>1721</v>
      </c>
      <c r="I519" s="153" t="s">
        <v>156</v>
      </c>
      <c r="J519" s="156">
        <v>514.0</v>
      </c>
      <c r="K519" s="157" t="s">
        <v>1722</v>
      </c>
      <c r="L519" s="158" t="s">
        <v>1723</v>
      </c>
      <c r="M519" s="158"/>
      <c r="N519" s="158"/>
      <c r="O519" s="158"/>
      <c r="P519" s="158"/>
      <c r="Q519" s="158"/>
      <c r="R519" s="158"/>
      <c r="S519" s="158"/>
      <c r="T519" s="158"/>
    </row>
    <row r="520">
      <c r="A520" s="152"/>
      <c r="B520" s="153"/>
      <c r="C520" s="152"/>
      <c r="D520" s="152"/>
      <c r="E520" s="154">
        <v>3326.0</v>
      </c>
      <c r="F520" s="152"/>
      <c r="G520" s="155"/>
      <c r="H520" s="153" t="s">
        <v>1724</v>
      </c>
      <c r="I520" s="153" t="s">
        <v>1526</v>
      </c>
      <c r="J520" s="156">
        <v>515.0</v>
      </c>
      <c r="K520" s="157" t="s">
        <v>1725</v>
      </c>
      <c r="L520" s="158" t="s">
        <v>1726</v>
      </c>
      <c r="M520" s="158"/>
      <c r="N520" s="158"/>
      <c r="O520" s="158"/>
      <c r="P520" s="158"/>
      <c r="Q520" s="158"/>
      <c r="R520" s="158"/>
      <c r="S520" s="158"/>
      <c r="T520" s="158"/>
    </row>
    <row r="521">
      <c r="A521" s="152"/>
      <c r="B521" s="153"/>
      <c r="C521" s="152"/>
      <c r="D521" s="152"/>
      <c r="E521" s="154">
        <v>3331.0</v>
      </c>
      <c r="F521" s="152"/>
      <c r="G521" s="155"/>
      <c r="H521" s="153" t="s">
        <v>1727</v>
      </c>
      <c r="I521" s="153" t="s">
        <v>167</v>
      </c>
      <c r="J521" s="156">
        <v>516.0</v>
      </c>
      <c r="K521" s="157" t="s">
        <v>1728</v>
      </c>
      <c r="L521" s="158" t="s">
        <v>1729</v>
      </c>
      <c r="M521" s="158"/>
      <c r="N521" s="158"/>
      <c r="O521" s="158"/>
      <c r="P521" s="158"/>
      <c r="Q521" s="158"/>
      <c r="R521" s="158"/>
      <c r="S521" s="158"/>
      <c r="T521" s="158"/>
    </row>
    <row r="522">
      <c r="A522" s="152"/>
      <c r="B522" s="153"/>
      <c r="C522" s="152"/>
      <c r="D522" s="152"/>
      <c r="E522" s="154">
        <v>3332.0</v>
      </c>
      <c r="F522" s="152"/>
      <c r="G522" s="155"/>
      <c r="H522" s="153" t="s">
        <v>1730</v>
      </c>
      <c r="I522" s="153" t="s">
        <v>1731</v>
      </c>
      <c r="J522" s="156">
        <v>517.0</v>
      </c>
      <c r="K522" s="157" t="s">
        <v>1732</v>
      </c>
      <c r="L522" s="158" t="s">
        <v>1733</v>
      </c>
      <c r="M522" s="158"/>
      <c r="N522" s="158"/>
      <c r="O522" s="158"/>
      <c r="P522" s="158"/>
      <c r="Q522" s="158"/>
      <c r="R522" s="158"/>
      <c r="S522" s="158"/>
      <c r="T522" s="158"/>
    </row>
    <row r="523">
      <c r="A523" s="152"/>
      <c r="B523" s="153"/>
      <c r="C523" s="152"/>
      <c r="D523" s="152"/>
      <c r="E523" s="154">
        <v>3333.0</v>
      </c>
      <c r="F523" s="152"/>
      <c r="G523" s="155"/>
      <c r="H523" s="153" t="s">
        <v>1734</v>
      </c>
      <c r="I523" s="153" t="s">
        <v>824</v>
      </c>
      <c r="J523" s="156">
        <v>518.0</v>
      </c>
      <c r="K523" s="157" t="s">
        <v>1735</v>
      </c>
      <c r="L523" s="158" t="s">
        <v>1736</v>
      </c>
      <c r="M523" s="158"/>
      <c r="N523" s="158"/>
      <c r="O523" s="158"/>
      <c r="P523" s="158"/>
      <c r="Q523" s="158"/>
      <c r="R523" s="158"/>
      <c r="S523" s="158"/>
      <c r="T523" s="158"/>
    </row>
    <row r="524">
      <c r="A524" s="152"/>
      <c r="B524" s="153"/>
      <c r="C524" s="152"/>
      <c r="D524" s="152"/>
      <c r="E524" s="154">
        <v>3334.0</v>
      </c>
      <c r="F524" s="152"/>
      <c r="G524" s="155"/>
      <c r="H524" s="153" t="s">
        <v>1737</v>
      </c>
      <c r="I524" s="153" t="s">
        <v>1084</v>
      </c>
      <c r="J524" s="156">
        <v>519.0</v>
      </c>
      <c r="K524" s="157" t="s">
        <v>1738</v>
      </c>
      <c r="L524" s="158" t="s">
        <v>1739</v>
      </c>
      <c r="M524" s="158"/>
      <c r="N524" s="158"/>
      <c r="O524" s="158"/>
      <c r="P524" s="158"/>
      <c r="Q524" s="158"/>
      <c r="R524" s="158"/>
      <c r="S524" s="158"/>
      <c r="T524" s="158"/>
    </row>
    <row r="525">
      <c r="A525" s="152"/>
      <c r="B525" s="153"/>
      <c r="C525" s="152"/>
      <c r="D525" s="152"/>
      <c r="E525" s="154">
        <v>3335.0</v>
      </c>
      <c r="F525" s="152"/>
      <c r="G525" s="155"/>
      <c r="H525" s="153" t="s">
        <v>1740</v>
      </c>
      <c r="I525" s="153" t="s">
        <v>167</v>
      </c>
      <c r="J525" s="156">
        <v>520.0</v>
      </c>
      <c r="K525" s="157" t="s">
        <v>1741</v>
      </c>
      <c r="L525" s="158" t="s">
        <v>1742</v>
      </c>
      <c r="M525" s="158"/>
      <c r="N525" s="158"/>
      <c r="O525" s="158"/>
      <c r="P525" s="158"/>
      <c r="Q525" s="158"/>
      <c r="R525" s="158"/>
      <c r="S525" s="158"/>
      <c r="T525" s="158"/>
    </row>
    <row r="526">
      <c r="A526" s="152"/>
      <c r="B526" s="153"/>
      <c r="C526" s="152"/>
      <c r="D526" s="152"/>
      <c r="E526" s="154">
        <v>3336.0</v>
      </c>
      <c r="F526" s="152"/>
      <c r="G526" s="155"/>
      <c r="H526" s="153" t="s">
        <v>1743</v>
      </c>
      <c r="I526" s="153" t="s">
        <v>1084</v>
      </c>
      <c r="J526" s="156">
        <v>521.0</v>
      </c>
      <c r="K526" s="157" t="s">
        <v>1744</v>
      </c>
      <c r="L526" s="158" t="s">
        <v>1745</v>
      </c>
      <c r="M526" s="158"/>
      <c r="N526" s="158"/>
      <c r="O526" s="158"/>
      <c r="P526" s="158"/>
      <c r="Q526" s="158"/>
      <c r="R526" s="158"/>
      <c r="S526" s="158"/>
      <c r="T526" s="158"/>
    </row>
    <row r="527">
      <c r="A527" s="152"/>
      <c r="B527" s="153"/>
      <c r="C527" s="152"/>
      <c r="D527" s="152"/>
      <c r="E527" s="154">
        <v>3341.0</v>
      </c>
      <c r="F527" s="152"/>
      <c r="G527" s="155"/>
      <c r="H527" s="153" t="s">
        <v>1746</v>
      </c>
      <c r="I527" s="153" t="s">
        <v>453</v>
      </c>
      <c r="J527" s="156">
        <v>522.0</v>
      </c>
      <c r="K527" s="157" t="s">
        <v>1747</v>
      </c>
      <c r="L527" s="158" t="s">
        <v>1748</v>
      </c>
      <c r="M527" s="158"/>
      <c r="N527" s="158"/>
      <c r="O527" s="158"/>
      <c r="P527" s="158"/>
      <c r="Q527" s="158"/>
      <c r="R527" s="158"/>
      <c r="S527" s="158"/>
      <c r="T527" s="158"/>
    </row>
    <row r="528">
      <c r="A528" s="152"/>
      <c r="B528" s="153"/>
      <c r="C528" s="152"/>
      <c r="D528" s="152"/>
      <c r="E528" s="154">
        <v>3342.0</v>
      </c>
      <c r="F528" s="152"/>
      <c r="G528" s="155"/>
      <c r="H528" s="153" t="s">
        <v>1749</v>
      </c>
      <c r="I528" s="153" t="s">
        <v>415</v>
      </c>
      <c r="J528" s="156">
        <v>523.0</v>
      </c>
      <c r="K528" s="157" t="s">
        <v>1750</v>
      </c>
      <c r="L528" s="158" t="s">
        <v>1751</v>
      </c>
      <c r="M528" s="158"/>
      <c r="N528" s="158"/>
      <c r="O528" s="158"/>
      <c r="P528" s="158"/>
      <c r="Q528" s="158"/>
      <c r="R528" s="158"/>
      <c r="S528" s="158"/>
      <c r="T528" s="158"/>
    </row>
    <row r="529">
      <c r="A529" s="152"/>
      <c r="B529" s="153"/>
      <c r="C529" s="152"/>
      <c r="D529" s="152"/>
      <c r="E529" s="154">
        <v>3343.0</v>
      </c>
      <c r="F529" s="152"/>
      <c r="G529" s="155"/>
      <c r="H529" s="153" t="s">
        <v>1752</v>
      </c>
      <c r="I529" s="153" t="s">
        <v>1084</v>
      </c>
      <c r="J529" s="156">
        <v>524.0</v>
      </c>
      <c r="K529" s="157" t="s">
        <v>1753</v>
      </c>
      <c r="L529" s="158" t="s">
        <v>1754</v>
      </c>
      <c r="M529" s="158"/>
      <c r="N529" s="158"/>
      <c r="O529" s="158"/>
      <c r="P529" s="158"/>
      <c r="Q529" s="158"/>
      <c r="R529" s="158"/>
      <c r="S529" s="158"/>
      <c r="T529" s="158"/>
    </row>
    <row r="530">
      <c r="A530" s="152"/>
      <c r="B530" s="153"/>
      <c r="C530" s="152"/>
      <c r="D530" s="152"/>
      <c r="E530" s="154">
        <v>3344.0</v>
      </c>
      <c r="F530" s="152"/>
      <c r="G530" s="155"/>
      <c r="H530" s="153" t="s">
        <v>1755</v>
      </c>
      <c r="I530" s="153" t="s">
        <v>1256</v>
      </c>
      <c r="J530" s="156">
        <v>525.0</v>
      </c>
      <c r="K530" s="157" t="s">
        <v>1756</v>
      </c>
      <c r="L530" s="158" t="s">
        <v>1757</v>
      </c>
      <c r="M530" s="158"/>
      <c r="N530" s="158"/>
      <c r="O530" s="158"/>
      <c r="P530" s="158"/>
      <c r="Q530" s="158"/>
      <c r="R530" s="158"/>
      <c r="S530" s="158"/>
      <c r="T530" s="158"/>
    </row>
    <row r="531">
      <c r="A531" s="152"/>
      <c r="B531" s="153"/>
      <c r="C531" s="152"/>
      <c r="D531" s="152"/>
      <c r="E531" s="154">
        <v>3345.0</v>
      </c>
      <c r="F531" s="152"/>
      <c r="G531" s="155"/>
      <c r="H531" s="153" t="s">
        <v>1758</v>
      </c>
      <c r="I531" s="153" t="s">
        <v>415</v>
      </c>
      <c r="J531" s="156">
        <v>526.0</v>
      </c>
      <c r="K531" s="157" t="s">
        <v>1759</v>
      </c>
      <c r="L531" s="158" t="s">
        <v>1760</v>
      </c>
      <c r="M531" s="158"/>
      <c r="N531" s="158"/>
      <c r="O531" s="158"/>
      <c r="P531" s="158"/>
      <c r="Q531" s="158"/>
      <c r="R531" s="158"/>
      <c r="S531" s="158"/>
      <c r="T531" s="158"/>
    </row>
    <row r="532">
      <c r="A532" s="152"/>
      <c r="B532" s="153"/>
      <c r="C532" s="152"/>
      <c r="D532" s="152"/>
      <c r="E532" s="154">
        <v>3346.0</v>
      </c>
      <c r="F532" s="152"/>
      <c r="G532" s="155"/>
      <c r="H532" s="153" t="s">
        <v>1761</v>
      </c>
      <c r="I532" s="153" t="s">
        <v>608</v>
      </c>
      <c r="J532" s="156">
        <v>527.0</v>
      </c>
      <c r="K532" s="157" t="s">
        <v>1762</v>
      </c>
      <c r="L532" s="158" t="s">
        <v>1763</v>
      </c>
      <c r="M532" s="158"/>
      <c r="N532" s="158"/>
      <c r="O532" s="158"/>
      <c r="P532" s="158"/>
      <c r="Q532" s="158"/>
      <c r="R532" s="158"/>
      <c r="S532" s="158"/>
      <c r="T532" s="158"/>
    </row>
    <row r="533">
      <c r="A533" s="152"/>
      <c r="B533" s="153"/>
      <c r="C533" s="152"/>
      <c r="D533" s="152"/>
      <c r="E533" s="154">
        <v>3351.0</v>
      </c>
      <c r="F533" s="152"/>
      <c r="G533" s="155"/>
      <c r="H533" s="153" t="s">
        <v>1764</v>
      </c>
      <c r="I533" s="153" t="s">
        <v>608</v>
      </c>
      <c r="J533" s="156">
        <v>528.0</v>
      </c>
      <c r="K533" s="157" t="s">
        <v>1765</v>
      </c>
      <c r="L533" s="158" t="s">
        <v>1766</v>
      </c>
      <c r="M533" s="158"/>
      <c r="N533" s="158"/>
      <c r="O533" s="158"/>
      <c r="P533" s="158"/>
      <c r="Q533" s="158"/>
      <c r="R533" s="158"/>
      <c r="S533" s="158"/>
      <c r="T533" s="158"/>
    </row>
    <row r="534">
      <c r="A534" s="152"/>
      <c r="B534" s="153"/>
      <c r="C534" s="152"/>
      <c r="D534" s="152"/>
      <c r="E534" s="154">
        <v>3352.0</v>
      </c>
      <c r="F534" s="152"/>
      <c r="G534" s="155"/>
      <c r="H534" s="153" t="s">
        <v>1767</v>
      </c>
      <c r="I534" s="153" t="s">
        <v>156</v>
      </c>
      <c r="J534" s="156">
        <v>529.0</v>
      </c>
      <c r="K534" s="157" t="s">
        <v>1768</v>
      </c>
      <c r="L534" s="158" t="s">
        <v>1769</v>
      </c>
      <c r="M534" s="158"/>
      <c r="N534" s="158"/>
      <c r="O534" s="158"/>
      <c r="P534" s="158"/>
      <c r="Q534" s="158"/>
      <c r="R534" s="158"/>
      <c r="S534" s="158"/>
      <c r="T534" s="158"/>
    </row>
    <row r="535">
      <c r="A535" s="152"/>
      <c r="B535" s="153"/>
      <c r="C535" s="152"/>
      <c r="D535" s="152"/>
      <c r="E535" s="154">
        <v>3353.0</v>
      </c>
      <c r="F535" s="152"/>
      <c r="G535" s="155"/>
      <c r="H535" s="153" t="s">
        <v>1770</v>
      </c>
      <c r="I535" s="153" t="s">
        <v>631</v>
      </c>
      <c r="J535" s="156">
        <v>530.0</v>
      </c>
      <c r="K535" s="157" t="s">
        <v>1771</v>
      </c>
      <c r="L535" s="158" t="s">
        <v>1772</v>
      </c>
      <c r="M535" s="158"/>
      <c r="N535" s="158"/>
      <c r="O535" s="158"/>
      <c r="P535" s="158"/>
      <c r="Q535" s="158"/>
      <c r="R535" s="158"/>
      <c r="S535" s="158"/>
      <c r="T535" s="158"/>
    </row>
    <row r="536">
      <c r="A536" s="152"/>
      <c r="B536" s="153"/>
      <c r="C536" s="152"/>
      <c r="D536" s="152"/>
      <c r="E536" s="154">
        <v>3354.0</v>
      </c>
      <c r="F536" s="152"/>
      <c r="G536" s="155"/>
      <c r="H536" s="153" t="s">
        <v>1773</v>
      </c>
      <c r="I536" s="153" t="s">
        <v>167</v>
      </c>
      <c r="J536" s="156">
        <v>531.0</v>
      </c>
      <c r="K536" s="157" t="s">
        <v>1774</v>
      </c>
      <c r="L536" s="158" t="s">
        <v>1775</v>
      </c>
      <c r="M536" s="158"/>
      <c r="N536" s="158"/>
      <c r="O536" s="158"/>
      <c r="P536" s="158"/>
      <c r="Q536" s="158"/>
      <c r="R536" s="158"/>
      <c r="S536" s="158"/>
      <c r="T536" s="158"/>
    </row>
    <row r="537">
      <c r="A537" s="152"/>
      <c r="B537" s="153"/>
      <c r="C537" s="152"/>
      <c r="D537" s="152"/>
      <c r="E537" s="154">
        <v>3355.0</v>
      </c>
      <c r="F537" s="152"/>
      <c r="G537" s="155"/>
      <c r="H537" s="153" t="s">
        <v>1776</v>
      </c>
      <c r="I537" s="153" t="s">
        <v>631</v>
      </c>
      <c r="J537" s="156">
        <v>532.0</v>
      </c>
      <c r="K537" s="157" t="s">
        <v>1777</v>
      </c>
      <c r="L537" s="153" t="s">
        <v>1778</v>
      </c>
      <c r="M537" s="153"/>
      <c r="N537" s="153"/>
      <c r="O537" s="153"/>
      <c r="P537" s="153"/>
      <c r="Q537" s="153"/>
      <c r="R537" s="153"/>
      <c r="S537" s="153"/>
      <c r="T537" s="153"/>
    </row>
    <row r="538">
      <c r="A538" s="152"/>
      <c r="B538" s="153"/>
      <c r="C538" s="152"/>
      <c r="D538" s="152"/>
      <c r="E538" s="154">
        <v>3356.0</v>
      </c>
      <c r="F538" s="152"/>
      <c r="G538" s="155"/>
      <c r="H538" s="153" t="s">
        <v>1779</v>
      </c>
      <c r="I538" s="153" t="s">
        <v>156</v>
      </c>
      <c r="J538" s="156">
        <v>533.0</v>
      </c>
      <c r="K538" s="157" t="s">
        <v>1780</v>
      </c>
      <c r="L538" s="158" t="s">
        <v>1781</v>
      </c>
      <c r="M538" s="158"/>
      <c r="N538" s="158"/>
      <c r="O538" s="158"/>
      <c r="P538" s="158"/>
      <c r="Q538" s="158"/>
      <c r="R538" s="158"/>
      <c r="S538" s="158"/>
      <c r="T538" s="158"/>
    </row>
    <row r="539">
      <c r="A539" s="152"/>
      <c r="B539" s="153"/>
      <c r="C539" s="152"/>
      <c r="D539" s="152"/>
      <c r="E539" s="154">
        <v>3361.0</v>
      </c>
      <c r="F539" s="152"/>
      <c r="G539" s="155"/>
      <c r="H539" s="153" t="s">
        <v>1782</v>
      </c>
      <c r="I539" s="153" t="s">
        <v>167</v>
      </c>
      <c r="J539" s="156">
        <v>534.0</v>
      </c>
      <c r="K539" s="157" t="s">
        <v>1783</v>
      </c>
      <c r="L539" s="158" t="s">
        <v>1784</v>
      </c>
      <c r="M539" s="158"/>
      <c r="N539" s="158"/>
      <c r="O539" s="158"/>
      <c r="P539" s="158"/>
      <c r="Q539" s="158"/>
      <c r="R539" s="158"/>
      <c r="S539" s="158"/>
      <c r="T539" s="158"/>
    </row>
    <row r="540">
      <c r="A540" s="152"/>
      <c r="B540" s="153"/>
      <c r="C540" s="152"/>
      <c r="D540" s="152"/>
      <c r="E540" s="154">
        <v>3362.0</v>
      </c>
      <c r="F540" s="152"/>
      <c r="G540" s="155"/>
      <c r="H540" s="153" t="s">
        <v>1785</v>
      </c>
      <c r="I540" s="153" t="s">
        <v>246</v>
      </c>
      <c r="J540" s="156">
        <v>535.0</v>
      </c>
      <c r="K540" s="157" t="s">
        <v>1786</v>
      </c>
      <c r="L540" s="158" t="s">
        <v>1787</v>
      </c>
      <c r="M540" s="158"/>
      <c r="N540" s="158"/>
      <c r="O540" s="158"/>
      <c r="P540" s="158"/>
      <c r="Q540" s="158"/>
      <c r="R540" s="158"/>
      <c r="S540" s="158"/>
      <c r="T540" s="158"/>
    </row>
    <row r="541">
      <c r="A541" s="152"/>
      <c r="B541" s="153"/>
      <c r="C541" s="152"/>
      <c r="D541" s="152"/>
      <c r="E541" s="154">
        <v>3363.0</v>
      </c>
      <c r="F541" s="152"/>
      <c r="G541" s="155"/>
      <c r="H541" s="153" t="s">
        <v>1788</v>
      </c>
      <c r="I541" s="153" t="s">
        <v>156</v>
      </c>
      <c r="J541" s="156">
        <v>536.0</v>
      </c>
      <c r="K541" s="157" t="s">
        <v>1789</v>
      </c>
      <c r="L541" s="158" t="s">
        <v>1790</v>
      </c>
      <c r="M541" s="158"/>
      <c r="N541" s="158"/>
      <c r="O541" s="158"/>
      <c r="P541" s="158"/>
      <c r="Q541" s="158"/>
      <c r="R541" s="158"/>
      <c r="S541" s="158"/>
      <c r="T541" s="158"/>
    </row>
    <row r="542">
      <c r="A542" s="152"/>
      <c r="B542" s="153"/>
      <c r="C542" s="152"/>
      <c r="D542" s="152"/>
      <c r="E542" s="154">
        <v>3364.0</v>
      </c>
      <c r="F542" s="152"/>
      <c r="G542" s="155"/>
      <c r="H542" s="153" t="s">
        <v>1791</v>
      </c>
      <c r="I542" s="153" t="s">
        <v>156</v>
      </c>
      <c r="J542" s="156">
        <v>537.0</v>
      </c>
      <c r="K542" s="157" t="s">
        <v>1792</v>
      </c>
      <c r="L542" s="158" t="s">
        <v>1793</v>
      </c>
      <c r="M542" s="158"/>
      <c r="N542" s="158"/>
      <c r="O542" s="158"/>
      <c r="P542" s="158"/>
      <c r="Q542" s="158"/>
      <c r="R542" s="158"/>
      <c r="S542" s="158"/>
      <c r="T542" s="158"/>
    </row>
    <row r="543">
      <c r="A543" s="152"/>
      <c r="B543" s="153"/>
      <c r="C543" s="152"/>
      <c r="D543" s="152"/>
      <c r="E543" s="154">
        <v>3365.0</v>
      </c>
      <c r="F543" s="152"/>
      <c r="G543" s="155"/>
      <c r="H543" s="153" t="s">
        <v>1794</v>
      </c>
      <c r="I543" s="153" t="s">
        <v>230</v>
      </c>
      <c r="J543" s="156">
        <v>538.0</v>
      </c>
      <c r="K543" s="157" t="s">
        <v>1795</v>
      </c>
      <c r="L543" s="158" t="s">
        <v>1796</v>
      </c>
      <c r="M543" s="158"/>
      <c r="N543" s="158"/>
      <c r="O543" s="158"/>
      <c r="P543" s="158"/>
      <c r="Q543" s="158"/>
      <c r="R543" s="158"/>
      <c r="S543" s="158"/>
      <c r="T543" s="158"/>
    </row>
    <row r="544">
      <c r="A544" s="152"/>
      <c r="B544" s="153"/>
      <c r="C544" s="152"/>
      <c r="D544" s="152"/>
      <c r="E544" s="154">
        <v>3366.0</v>
      </c>
      <c r="F544" s="152"/>
      <c r="G544" s="155"/>
      <c r="H544" s="153" t="s">
        <v>1797</v>
      </c>
      <c r="I544" s="153" t="s">
        <v>156</v>
      </c>
      <c r="J544" s="156">
        <v>539.0</v>
      </c>
      <c r="K544" s="157" t="s">
        <v>1798</v>
      </c>
      <c r="L544" s="158" t="s">
        <v>1799</v>
      </c>
      <c r="M544" s="158"/>
      <c r="N544" s="158"/>
      <c r="O544" s="158"/>
      <c r="P544" s="158"/>
      <c r="Q544" s="158"/>
      <c r="R544" s="158"/>
      <c r="S544" s="158"/>
      <c r="T544" s="158"/>
    </row>
    <row r="545">
      <c r="A545" s="152"/>
      <c r="B545" s="153"/>
      <c r="C545" s="152"/>
      <c r="D545" s="152"/>
      <c r="E545" s="154">
        <v>3411.0</v>
      </c>
      <c r="F545" s="152"/>
      <c r="G545" s="155"/>
      <c r="H545" s="153" t="s">
        <v>1800</v>
      </c>
      <c r="I545" s="153" t="s">
        <v>182</v>
      </c>
      <c r="J545" s="156">
        <v>540.0</v>
      </c>
      <c r="K545" s="157" t="s">
        <v>1801</v>
      </c>
      <c r="L545" s="158" t="s">
        <v>1802</v>
      </c>
      <c r="M545" s="158"/>
      <c r="N545" s="158"/>
      <c r="O545" s="158"/>
      <c r="P545" s="158"/>
      <c r="Q545" s="158"/>
      <c r="R545" s="158"/>
      <c r="S545" s="158"/>
      <c r="T545" s="158"/>
    </row>
    <row r="546">
      <c r="A546" s="152"/>
      <c r="B546" s="153"/>
      <c r="C546" s="152"/>
      <c r="D546" s="152"/>
      <c r="E546" s="154">
        <v>3412.0</v>
      </c>
      <c r="F546" s="152"/>
      <c r="G546" s="155"/>
      <c r="H546" s="153" t="s">
        <v>1803</v>
      </c>
      <c r="I546" s="153" t="s">
        <v>167</v>
      </c>
      <c r="J546" s="156">
        <v>541.0</v>
      </c>
      <c r="K546" s="157" t="s">
        <v>1804</v>
      </c>
      <c r="L546" s="158" t="s">
        <v>1805</v>
      </c>
      <c r="M546" s="158"/>
      <c r="N546" s="158"/>
      <c r="O546" s="158"/>
      <c r="P546" s="158"/>
      <c r="Q546" s="158"/>
      <c r="R546" s="158"/>
      <c r="S546" s="158"/>
      <c r="T546" s="158"/>
    </row>
    <row r="547">
      <c r="A547" s="152"/>
      <c r="B547" s="153"/>
      <c r="C547" s="152"/>
      <c r="D547" s="152"/>
      <c r="E547" s="154">
        <v>3413.0</v>
      </c>
      <c r="F547" s="152"/>
      <c r="G547" s="155"/>
      <c r="H547" s="153" t="s">
        <v>1806</v>
      </c>
      <c r="I547" s="153" t="s">
        <v>230</v>
      </c>
      <c r="J547" s="156">
        <v>542.0</v>
      </c>
      <c r="K547" s="157" t="s">
        <v>1807</v>
      </c>
      <c r="L547" s="158" t="s">
        <v>1808</v>
      </c>
      <c r="M547" s="158"/>
      <c r="N547" s="158"/>
      <c r="O547" s="158"/>
      <c r="P547" s="158"/>
      <c r="Q547" s="158"/>
      <c r="R547" s="158"/>
      <c r="S547" s="158"/>
      <c r="T547" s="158"/>
    </row>
    <row r="548">
      <c r="A548" s="152"/>
      <c r="B548" s="153"/>
      <c r="C548" s="152"/>
      <c r="D548" s="152"/>
      <c r="E548" s="154">
        <v>3414.0</v>
      </c>
      <c r="F548" s="152"/>
      <c r="G548" s="155"/>
      <c r="H548" s="153" t="s">
        <v>1809</v>
      </c>
      <c r="I548" s="153" t="s">
        <v>608</v>
      </c>
      <c r="J548" s="156">
        <v>543.0</v>
      </c>
      <c r="K548" s="157" t="s">
        <v>1810</v>
      </c>
      <c r="L548" s="158" t="s">
        <v>1811</v>
      </c>
      <c r="M548" s="158"/>
      <c r="N548" s="158"/>
      <c r="O548" s="158"/>
      <c r="P548" s="158"/>
      <c r="Q548" s="158"/>
      <c r="R548" s="158"/>
      <c r="S548" s="158"/>
      <c r="T548" s="158"/>
    </row>
    <row r="549">
      <c r="A549" s="152"/>
      <c r="B549" s="153"/>
      <c r="C549" s="152"/>
      <c r="D549" s="152"/>
      <c r="E549" s="154">
        <v>3415.0</v>
      </c>
      <c r="F549" s="152"/>
      <c r="G549" s="155"/>
      <c r="H549" s="153" t="s">
        <v>1812</v>
      </c>
      <c r="I549" s="153" t="s">
        <v>1526</v>
      </c>
      <c r="J549" s="156">
        <v>544.0</v>
      </c>
      <c r="K549" s="157" t="s">
        <v>1813</v>
      </c>
      <c r="L549" s="158" t="s">
        <v>1814</v>
      </c>
      <c r="M549" s="158"/>
      <c r="N549" s="158"/>
      <c r="O549" s="158"/>
      <c r="P549" s="158"/>
      <c r="Q549" s="158"/>
      <c r="R549" s="158"/>
      <c r="S549" s="158"/>
      <c r="T549" s="158"/>
    </row>
    <row r="550">
      <c r="A550" s="152"/>
      <c r="B550" s="153"/>
      <c r="C550" s="152"/>
      <c r="D550" s="152"/>
      <c r="E550" s="154">
        <v>3416.0</v>
      </c>
      <c r="F550" s="152"/>
      <c r="G550" s="155"/>
      <c r="H550" s="153" t="s">
        <v>1815</v>
      </c>
      <c r="I550" s="153" t="s">
        <v>167</v>
      </c>
      <c r="J550" s="156">
        <v>545.0</v>
      </c>
      <c r="K550" s="157" t="s">
        <v>1816</v>
      </c>
      <c r="L550" s="158" t="s">
        <v>1817</v>
      </c>
      <c r="M550" s="158"/>
      <c r="N550" s="158"/>
      <c r="O550" s="158"/>
      <c r="P550" s="158"/>
      <c r="Q550" s="158"/>
      <c r="R550" s="158"/>
      <c r="S550" s="158"/>
      <c r="T550" s="158"/>
    </row>
    <row r="551">
      <c r="A551" s="152"/>
      <c r="B551" s="153"/>
      <c r="C551" s="152"/>
      <c r="D551" s="152"/>
      <c r="E551" s="154">
        <v>3421.0</v>
      </c>
      <c r="F551" s="152"/>
      <c r="G551" s="155"/>
      <c r="H551" s="153" t="s">
        <v>1818</v>
      </c>
      <c r="I551" s="153" t="s">
        <v>230</v>
      </c>
      <c r="J551" s="156">
        <v>546.0</v>
      </c>
      <c r="K551" s="157" t="s">
        <v>1819</v>
      </c>
      <c r="L551" s="158" t="s">
        <v>1820</v>
      </c>
      <c r="M551" s="158"/>
      <c r="N551" s="158"/>
      <c r="O551" s="158"/>
      <c r="P551" s="158"/>
      <c r="Q551" s="158"/>
      <c r="R551" s="158"/>
      <c r="S551" s="158"/>
      <c r="T551" s="158"/>
    </row>
    <row r="552">
      <c r="A552" s="152"/>
      <c r="B552" s="153"/>
      <c r="C552" s="152"/>
      <c r="D552" s="152"/>
      <c r="E552" s="154">
        <v>3422.0</v>
      </c>
      <c r="F552" s="152"/>
      <c r="G552" s="155"/>
      <c r="H552" s="153" t="s">
        <v>1821</v>
      </c>
      <c r="I552" s="153" t="s">
        <v>608</v>
      </c>
      <c r="J552" s="156">
        <v>547.0</v>
      </c>
      <c r="K552" s="157" t="s">
        <v>1822</v>
      </c>
      <c r="L552" s="158" t="s">
        <v>1823</v>
      </c>
      <c r="M552" s="158"/>
      <c r="N552" s="158"/>
      <c r="O552" s="158"/>
      <c r="P552" s="158"/>
      <c r="Q552" s="158"/>
      <c r="R552" s="158"/>
      <c r="S552" s="158"/>
      <c r="T552" s="158"/>
    </row>
    <row r="553">
      <c r="A553" s="152"/>
      <c r="B553" s="153"/>
      <c r="C553" s="152"/>
      <c r="D553" s="152"/>
      <c r="E553" s="154">
        <v>3423.0</v>
      </c>
      <c r="F553" s="152"/>
      <c r="G553" s="155"/>
      <c r="H553" s="153" t="s">
        <v>1824</v>
      </c>
      <c r="I553" s="153" t="s">
        <v>631</v>
      </c>
      <c r="J553" s="156">
        <v>548.0</v>
      </c>
      <c r="K553" s="157" t="s">
        <v>1825</v>
      </c>
      <c r="L553" s="158" t="s">
        <v>1826</v>
      </c>
      <c r="M553" s="158"/>
      <c r="N553" s="158"/>
      <c r="O553" s="158"/>
      <c r="P553" s="158"/>
      <c r="Q553" s="158"/>
      <c r="R553" s="158"/>
      <c r="S553" s="158"/>
      <c r="T553" s="158"/>
    </row>
    <row r="554">
      <c r="A554" s="152"/>
      <c r="B554" s="153"/>
      <c r="C554" s="152"/>
      <c r="D554" s="152"/>
      <c r="E554" s="154">
        <v>3424.0</v>
      </c>
      <c r="F554" s="152"/>
      <c r="G554" s="155"/>
      <c r="H554" s="153" t="s">
        <v>1827</v>
      </c>
      <c r="I554" s="153" t="s">
        <v>246</v>
      </c>
      <c r="J554" s="156">
        <v>549.0</v>
      </c>
      <c r="K554" s="157" t="s">
        <v>1828</v>
      </c>
      <c r="L554" s="153" t="s">
        <v>1829</v>
      </c>
      <c r="M554" s="153"/>
      <c r="N554" s="153"/>
      <c r="O554" s="153"/>
      <c r="P554" s="153"/>
      <c r="Q554" s="153"/>
      <c r="R554" s="153"/>
      <c r="S554" s="153"/>
      <c r="T554" s="153"/>
    </row>
    <row r="555">
      <c r="A555" s="152"/>
      <c r="B555" s="153"/>
      <c r="C555" s="152"/>
      <c r="D555" s="152"/>
      <c r="E555" s="154">
        <v>3425.0</v>
      </c>
      <c r="F555" s="152"/>
      <c r="G555" s="155"/>
      <c r="H555" s="153" t="s">
        <v>1830</v>
      </c>
      <c r="I555" s="153" t="s">
        <v>246</v>
      </c>
      <c r="J555" s="156">
        <v>550.0</v>
      </c>
      <c r="K555" s="157" t="s">
        <v>1831</v>
      </c>
      <c r="L555" s="158" t="s">
        <v>1832</v>
      </c>
      <c r="M555" s="158"/>
      <c r="N555" s="158"/>
      <c r="O555" s="158"/>
      <c r="P555" s="158"/>
      <c r="Q555" s="158"/>
      <c r="R555" s="158"/>
      <c r="S555" s="158"/>
      <c r="T555" s="158"/>
    </row>
    <row r="556">
      <c r="A556" s="152"/>
      <c r="B556" s="153"/>
      <c r="C556" s="152"/>
      <c r="D556" s="152"/>
      <c r="E556" s="154">
        <v>3426.0</v>
      </c>
      <c r="F556" s="152"/>
      <c r="G556" s="155"/>
      <c r="H556" s="153" t="s">
        <v>1833</v>
      </c>
      <c r="I556" s="153" t="s">
        <v>631</v>
      </c>
      <c r="J556" s="156">
        <v>551.0</v>
      </c>
      <c r="K556" s="157" t="s">
        <v>1834</v>
      </c>
      <c r="L556" s="158" t="s">
        <v>1835</v>
      </c>
      <c r="M556" s="158"/>
      <c r="N556" s="158"/>
      <c r="O556" s="158"/>
      <c r="P556" s="158"/>
      <c r="Q556" s="158"/>
      <c r="R556" s="158"/>
      <c r="S556" s="158"/>
      <c r="T556" s="158"/>
    </row>
    <row r="557">
      <c r="A557" s="152"/>
      <c r="B557" s="153"/>
      <c r="C557" s="152"/>
      <c r="D557" s="152"/>
      <c r="E557" s="154">
        <v>3431.0</v>
      </c>
      <c r="F557" s="152"/>
      <c r="G557" s="155"/>
      <c r="H557" s="153" t="s">
        <v>1836</v>
      </c>
      <c r="I557" s="153" t="s">
        <v>167</v>
      </c>
      <c r="J557" s="156">
        <v>552.0</v>
      </c>
      <c r="K557" s="157" t="s">
        <v>1837</v>
      </c>
      <c r="L557" s="153" t="s">
        <v>1838</v>
      </c>
      <c r="M557" s="153"/>
      <c r="N557" s="153"/>
      <c r="O557" s="153"/>
      <c r="P557" s="153"/>
      <c r="Q557" s="153"/>
      <c r="R557" s="153"/>
      <c r="S557" s="153"/>
      <c r="T557" s="153"/>
    </row>
    <row r="558">
      <c r="A558" s="152"/>
      <c r="B558" s="153"/>
      <c r="C558" s="152"/>
      <c r="D558" s="152"/>
      <c r="E558" s="154">
        <v>3432.0</v>
      </c>
      <c r="F558" s="152"/>
      <c r="G558" s="155"/>
      <c r="H558" s="153" t="s">
        <v>1839</v>
      </c>
      <c r="I558" s="153" t="s">
        <v>167</v>
      </c>
      <c r="J558" s="156">
        <v>553.0</v>
      </c>
      <c r="K558" s="157" t="s">
        <v>1837</v>
      </c>
      <c r="L558" s="153" t="s">
        <v>1840</v>
      </c>
      <c r="M558" s="153"/>
      <c r="N558" s="153"/>
      <c r="O558" s="153"/>
      <c r="P558" s="153"/>
      <c r="Q558" s="153"/>
      <c r="R558" s="153"/>
      <c r="S558" s="153"/>
      <c r="T558" s="153"/>
    </row>
    <row r="559">
      <c r="A559" s="152"/>
      <c r="B559" s="153"/>
      <c r="C559" s="152"/>
      <c r="D559" s="152"/>
      <c r="E559" s="154">
        <v>3433.0</v>
      </c>
      <c r="F559" s="152"/>
      <c r="G559" s="155"/>
      <c r="H559" s="153" t="s">
        <v>39</v>
      </c>
      <c r="I559" s="153" t="s">
        <v>230</v>
      </c>
      <c r="J559" s="156">
        <v>554.0</v>
      </c>
      <c r="K559" s="157" t="s">
        <v>1841</v>
      </c>
      <c r="L559" s="158" t="s">
        <v>1842</v>
      </c>
      <c r="M559" s="158"/>
      <c r="N559" s="158"/>
      <c r="O559" s="158"/>
      <c r="P559" s="158"/>
      <c r="Q559" s="158"/>
      <c r="R559" s="158"/>
      <c r="S559" s="158"/>
      <c r="T559" s="158"/>
    </row>
    <row r="560">
      <c r="A560" s="152"/>
      <c r="B560" s="153"/>
      <c r="C560" s="152"/>
      <c r="D560" s="152"/>
      <c r="E560" s="154">
        <v>3434.0</v>
      </c>
      <c r="F560" s="152"/>
      <c r="G560" s="155"/>
      <c r="H560" s="153" t="s">
        <v>1843</v>
      </c>
      <c r="I560" s="153" t="s">
        <v>230</v>
      </c>
      <c r="J560" s="156">
        <v>555.0</v>
      </c>
      <c r="K560" s="157" t="s">
        <v>1844</v>
      </c>
      <c r="L560" s="153" t="s">
        <v>1845</v>
      </c>
      <c r="M560" s="153"/>
      <c r="N560" s="153"/>
      <c r="O560" s="153"/>
      <c r="P560" s="153"/>
      <c r="Q560" s="153"/>
      <c r="R560" s="153"/>
      <c r="S560" s="153"/>
      <c r="T560" s="153"/>
    </row>
    <row r="561">
      <c r="A561" s="152"/>
      <c r="B561" s="153"/>
      <c r="C561" s="152"/>
      <c r="D561" s="152"/>
      <c r="E561" s="154">
        <v>3435.0</v>
      </c>
      <c r="F561" s="152"/>
      <c r="G561" s="155"/>
      <c r="H561" s="153" t="s">
        <v>1846</v>
      </c>
      <c r="I561" s="153" t="s">
        <v>230</v>
      </c>
      <c r="J561" s="156">
        <v>556.0</v>
      </c>
      <c r="K561" s="157" t="s">
        <v>1847</v>
      </c>
      <c r="L561" s="153" t="s">
        <v>1845</v>
      </c>
      <c r="M561" s="153"/>
      <c r="N561" s="153"/>
      <c r="O561" s="153"/>
      <c r="P561" s="153"/>
      <c r="Q561" s="153"/>
      <c r="R561" s="153"/>
      <c r="S561" s="153"/>
      <c r="T561" s="153"/>
    </row>
    <row r="562">
      <c r="A562" s="152"/>
      <c r="B562" s="153"/>
      <c r="C562" s="152"/>
      <c r="D562" s="152"/>
      <c r="E562" s="154">
        <v>3436.0</v>
      </c>
      <c r="F562" s="152"/>
      <c r="G562" s="155"/>
      <c r="H562" s="153" t="s">
        <v>1848</v>
      </c>
      <c r="I562" s="153" t="s">
        <v>156</v>
      </c>
      <c r="J562" s="156">
        <v>557.0</v>
      </c>
      <c r="K562" s="157" t="s">
        <v>1849</v>
      </c>
      <c r="L562" s="153" t="s">
        <v>1850</v>
      </c>
      <c r="M562" s="153"/>
      <c r="N562" s="153"/>
      <c r="O562" s="153"/>
      <c r="P562" s="153"/>
      <c r="Q562" s="153"/>
      <c r="R562" s="153"/>
      <c r="S562" s="153"/>
      <c r="T562" s="153"/>
    </row>
    <row r="563">
      <c r="A563" s="152"/>
      <c r="B563" s="153"/>
      <c r="C563" s="152"/>
      <c r="D563" s="152"/>
      <c r="E563" s="154">
        <v>3441.0</v>
      </c>
      <c r="F563" s="152"/>
      <c r="G563" s="155"/>
      <c r="H563" s="153" t="s">
        <v>1851</v>
      </c>
      <c r="I563" s="153" t="s">
        <v>230</v>
      </c>
      <c r="J563" s="156">
        <v>558.0</v>
      </c>
      <c r="K563" s="157" t="s">
        <v>1852</v>
      </c>
      <c r="L563" s="153" t="s">
        <v>1853</v>
      </c>
      <c r="M563" s="153"/>
      <c r="N563" s="153"/>
      <c r="O563" s="153"/>
      <c r="P563" s="153"/>
      <c r="Q563" s="153"/>
      <c r="R563" s="153"/>
      <c r="S563" s="153"/>
      <c r="T563" s="153"/>
    </row>
    <row r="564">
      <c r="A564" s="152"/>
      <c r="B564" s="153"/>
      <c r="C564" s="152"/>
      <c r="D564" s="152"/>
      <c r="E564" s="154">
        <v>3442.0</v>
      </c>
      <c r="F564" s="152"/>
      <c r="G564" s="155"/>
      <c r="H564" s="153" t="s">
        <v>1854</v>
      </c>
      <c r="I564" s="153" t="s">
        <v>167</v>
      </c>
      <c r="J564" s="156">
        <v>559.0</v>
      </c>
      <c r="K564" s="157" t="s">
        <v>1855</v>
      </c>
      <c r="L564" s="153" t="s">
        <v>1856</v>
      </c>
      <c r="M564" s="153"/>
      <c r="N564" s="153"/>
      <c r="O564" s="153"/>
      <c r="P564" s="153"/>
      <c r="Q564" s="153"/>
      <c r="R564" s="153"/>
      <c r="S564" s="153"/>
      <c r="T564" s="153"/>
    </row>
    <row r="565">
      <c r="A565" s="152"/>
      <c r="B565" s="153"/>
      <c r="C565" s="152"/>
      <c r="D565" s="152"/>
      <c r="E565" s="154">
        <v>3443.0</v>
      </c>
      <c r="F565" s="152"/>
      <c r="G565" s="155"/>
      <c r="H565" s="153" t="s">
        <v>1857</v>
      </c>
      <c r="I565" s="153" t="s">
        <v>156</v>
      </c>
      <c r="J565" s="156">
        <v>560.0</v>
      </c>
      <c r="K565" s="157" t="s">
        <v>1858</v>
      </c>
      <c r="L565" s="158" t="s">
        <v>1859</v>
      </c>
      <c r="M565" s="158"/>
      <c r="N565" s="158"/>
      <c r="O565" s="158"/>
      <c r="P565" s="158"/>
      <c r="Q565" s="158"/>
      <c r="R565" s="158"/>
      <c r="S565" s="158"/>
      <c r="T565" s="158"/>
    </row>
    <row r="566">
      <c r="A566" s="152"/>
      <c r="B566" s="153"/>
      <c r="C566" s="152"/>
      <c r="D566" s="152"/>
      <c r="E566" s="154">
        <v>3444.0</v>
      </c>
      <c r="F566" s="152"/>
      <c r="G566" s="155"/>
      <c r="H566" s="153" t="s">
        <v>1860</v>
      </c>
      <c r="I566" s="153" t="s">
        <v>167</v>
      </c>
      <c r="J566" s="156">
        <v>561.0</v>
      </c>
      <c r="K566" s="157" t="s">
        <v>1861</v>
      </c>
      <c r="L566" s="158" t="s">
        <v>1862</v>
      </c>
      <c r="M566" s="158"/>
      <c r="N566" s="158"/>
      <c r="O566" s="158"/>
      <c r="P566" s="158"/>
      <c r="Q566" s="158"/>
      <c r="R566" s="158"/>
      <c r="S566" s="158"/>
      <c r="T566" s="158"/>
    </row>
    <row r="567">
      <c r="A567" s="152"/>
      <c r="B567" s="153"/>
      <c r="C567" s="152"/>
      <c r="D567" s="152"/>
      <c r="E567" s="154">
        <v>3445.0</v>
      </c>
      <c r="F567" s="152"/>
      <c r="G567" s="155"/>
      <c r="H567" s="153" t="s">
        <v>1863</v>
      </c>
      <c r="I567" s="153" t="s">
        <v>156</v>
      </c>
      <c r="J567" s="156">
        <v>562.0</v>
      </c>
      <c r="K567" s="157" t="s">
        <v>1864</v>
      </c>
      <c r="L567" s="153" t="s">
        <v>1865</v>
      </c>
      <c r="M567" s="153"/>
      <c r="N567" s="153"/>
      <c r="O567" s="153"/>
      <c r="P567" s="153"/>
      <c r="Q567" s="153"/>
      <c r="R567" s="153"/>
      <c r="S567" s="153"/>
      <c r="T567" s="153"/>
    </row>
    <row r="568">
      <c r="A568" s="152"/>
      <c r="B568" s="153"/>
      <c r="C568" s="152"/>
      <c r="D568" s="152"/>
      <c r="E568" s="154">
        <v>3446.0</v>
      </c>
      <c r="F568" s="152"/>
      <c r="G568" s="155"/>
      <c r="H568" s="153" t="s">
        <v>1866</v>
      </c>
      <c r="I568" s="153" t="s">
        <v>156</v>
      </c>
      <c r="J568" s="156">
        <v>563.0</v>
      </c>
      <c r="K568" s="157" t="s">
        <v>1867</v>
      </c>
      <c r="L568" s="153" t="s">
        <v>1868</v>
      </c>
      <c r="M568" s="153"/>
      <c r="N568" s="153"/>
      <c r="O568" s="153"/>
      <c r="P568" s="153"/>
      <c r="Q568" s="153"/>
      <c r="R568" s="153"/>
      <c r="S568" s="153"/>
      <c r="T568" s="153"/>
    </row>
    <row r="569">
      <c r="A569" s="152"/>
      <c r="B569" s="153"/>
      <c r="C569" s="152"/>
      <c r="D569" s="152"/>
      <c r="E569" s="154">
        <v>3451.0</v>
      </c>
      <c r="F569" s="152"/>
      <c r="G569" s="155"/>
      <c r="H569" s="153" t="s">
        <v>1869</v>
      </c>
      <c r="I569" s="153" t="s">
        <v>156</v>
      </c>
      <c r="J569" s="156">
        <v>564.0</v>
      </c>
      <c r="K569" s="157" t="s">
        <v>1870</v>
      </c>
      <c r="L569" s="158" t="s">
        <v>1859</v>
      </c>
      <c r="M569" s="158"/>
      <c r="N569" s="158"/>
      <c r="O569" s="158"/>
      <c r="P569" s="158"/>
      <c r="Q569" s="158"/>
      <c r="R569" s="158"/>
      <c r="S569" s="158"/>
      <c r="T569" s="158"/>
    </row>
    <row r="570">
      <c r="A570" s="152"/>
      <c r="B570" s="153"/>
      <c r="C570" s="152"/>
      <c r="D570" s="152"/>
      <c r="E570" s="154">
        <v>3452.0</v>
      </c>
      <c r="F570" s="152"/>
      <c r="G570" s="155"/>
      <c r="H570" s="153" t="s">
        <v>1871</v>
      </c>
      <c r="I570" s="153" t="s">
        <v>167</v>
      </c>
      <c r="J570" s="156">
        <v>565.0</v>
      </c>
      <c r="K570" s="157" t="s">
        <v>1872</v>
      </c>
      <c r="L570" s="158" t="s">
        <v>1873</v>
      </c>
      <c r="M570" s="158"/>
      <c r="N570" s="158"/>
      <c r="O570" s="158"/>
      <c r="P570" s="158"/>
      <c r="Q570" s="158"/>
      <c r="R570" s="158"/>
      <c r="S570" s="158"/>
      <c r="T570" s="158"/>
    </row>
    <row r="571">
      <c r="A571" s="152"/>
      <c r="B571" s="153"/>
      <c r="C571" s="152"/>
      <c r="D571" s="152"/>
      <c r="E571" s="154">
        <v>3453.0</v>
      </c>
      <c r="F571" s="152"/>
      <c r="G571" s="155"/>
      <c r="H571" s="153" t="s">
        <v>1874</v>
      </c>
      <c r="I571" s="153" t="s">
        <v>156</v>
      </c>
      <c r="J571" s="156">
        <v>566.0</v>
      </c>
      <c r="K571" s="157" t="s">
        <v>1875</v>
      </c>
      <c r="L571" s="153" t="s">
        <v>1876</v>
      </c>
      <c r="M571" s="153"/>
      <c r="N571" s="153"/>
      <c r="O571" s="153"/>
      <c r="P571" s="153"/>
      <c r="Q571" s="153"/>
      <c r="R571" s="153"/>
      <c r="S571" s="153"/>
      <c r="T571" s="153"/>
    </row>
    <row r="572">
      <c r="A572" s="152"/>
      <c r="B572" s="153"/>
      <c r="C572" s="152"/>
      <c r="D572" s="152"/>
      <c r="E572" s="154">
        <v>3454.0</v>
      </c>
      <c r="F572" s="152"/>
      <c r="G572" s="155"/>
      <c r="H572" s="153" t="s">
        <v>1877</v>
      </c>
      <c r="I572" s="153" t="s">
        <v>453</v>
      </c>
      <c r="J572" s="156">
        <v>567.0</v>
      </c>
      <c r="K572" s="157" t="s">
        <v>1878</v>
      </c>
      <c r="L572" s="153" t="s">
        <v>1879</v>
      </c>
      <c r="M572" s="153"/>
      <c r="N572" s="153"/>
      <c r="O572" s="153"/>
      <c r="P572" s="153"/>
      <c r="Q572" s="153"/>
      <c r="R572" s="153"/>
      <c r="S572" s="153"/>
      <c r="T572" s="153"/>
    </row>
    <row r="573">
      <c r="A573" s="152"/>
      <c r="B573" s="153"/>
      <c r="C573" s="152"/>
      <c r="D573" s="152"/>
      <c r="E573" s="154">
        <v>3455.0</v>
      </c>
      <c r="F573" s="152"/>
      <c r="G573" s="155"/>
      <c r="H573" s="153" t="s">
        <v>1880</v>
      </c>
      <c r="I573" s="153" t="s">
        <v>156</v>
      </c>
      <c r="J573" s="156">
        <v>568.0</v>
      </c>
      <c r="K573" s="157" t="s">
        <v>1881</v>
      </c>
      <c r="L573" s="153" t="s">
        <v>1882</v>
      </c>
      <c r="M573" s="153"/>
      <c r="N573" s="153"/>
      <c r="O573" s="153"/>
      <c r="P573" s="153"/>
      <c r="Q573" s="153"/>
      <c r="R573" s="153"/>
      <c r="S573" s="153"/>
      <c r="T573" s="153"/>
    </row>
    <row r="574">
      <c r="A574" s="152"/>
      <c r="B574" s="153"/>
      <c r="C574" s="152"/>
      <c r="D574" s="152"/>
      <c r="E574" s="154">
        <v>3456.0</v>
      </c>
      <c r="F574" s="152"/>
      <c r="G574" s="155"/>
      <c r="H574" s="153" t="s">
        <v>1883</v>
      </c>
      <c r="I574" s="153" t="s">
        <v>156</v>
      </c>
      <c r="J574" s="156">
        <v>569.0</v>
      </c>
      <c r="K574" s="157" t="s">
        <v>1884</v>
      </c>
      <c r="L574" s="153" t="s">
        <v>1885</v>
      </c>
      <c r="M574" s="153"/>
      <c r="N574" s="153"/>
      <c r="O574" s="153"/>
      <c r="P574" s="153"/>
      <c r="Q574" s="153"/>
      <c r="R574" s="153"/>
      <c r="S574" s="153"/>
      <c r="T574" s="153"/>
    </row>
    <row r="575">
      <c r="A575" s="152"/>
      <c r="B575" s="153"/>
      <c r="C575" s="152"/>
      <c r="D575" s="152"/>
      <c r="E575" s="154">
        <v>3461.0</v>
      </c>
      <c r="F575" s="152"/>
      <c r="G575" s="155"/>
      <c r="H575" s="153" t="s">
        <v>1886</v>
      </c>
      <c r="I575" s="153" t="s">
        <v>188</v>
      </c>
      <c r="J575" s="156">
        <v>570.0</v>
      </c>
      <c r="K575" s="157" t="s">
        <v>1887</v>
      </c>
      <c r="L575" s="153" t="s">
        <v>1888</v>
      </c>
      <c r="M575" s="153"/>
      <c r="N575" s="153"/>
      <c r="O575" s="153"/>
      <c r="P575" s="153"/>
      <c r="Q575" s="153"/>
      <c r="R575" s="153"/>
      <c r="S575" s="153"/>
      <c r="T575" s="153"/>
    </row>
    <row r="576">
      <c r="A576" s="152"/>
      <c r="B576" s="153"/>
      <c r="C576" s="152"/>
      <c r="D576" s="152"/>
      <c r="E576" s="154">
        <v>3462.0</v>
      </c>
      <c r="F576" s="152"/>
      <c r="G576" s="155"/>
      <c r="H576" s="153" t="s">
        <v>1889</v>
      </c>
      <c r="I576" s="153" t="s">
        <v>188</v>
      </c>
      <c r="J576" s="156">
        <v>571.0</v>
      </c>
      <c r="K576" s="157" t="s">
        <v>1890</v>
      </c>
      <c r="L576" s="158" t="s">
        <v>1891</v>
      </c>
      <c r="M576" s="158"/>
      <c r="N576" s="158"/>
      <c r="O576" s="158"/>
      <c r="P576" s="158"/>
      <c r="Q576" s="158"/>
      <c r="R576" s="158"/>
      <c r="S576" s="158"/>
      <c r="T576" s="158"/>
    </row>
    <row r="577">
      <c r="A577" s="152"/>
      <c r="B577" s="153"/>
      <c r="C577" s="152"/>
      <c r="D577" s="152"/>
      <c r="E577" s="154">
        <v>3463.0</v>
      </c>
      <c r="F577" s="152"/>
      <c r="G577" s="155"/>
      <c r="H577" s="153" t="s">
        <v>1892</v>
      </c>
      <c r="I577" s="153" t="s">
        <v>1604</v>
      </c>
      <c r="J577" s="156">
        <v>572.0</v>
      </c>
      <c r="K577" s="157" t="s">
        <v>1893</v>
      </c>
      <c r="L577" s="158" t="s">
        <v>1894</v>
      </c>
      <c r="M577" s="158"/>
      <c r="N577" s="158"/>
      <c r="O577" s="158"/>
      <c r="P577" s="158"/>
      <c r="Q577" s="158"/>
      <c r="R577" s="158"/>
      <c r="S577" s="158"/>
      <c r="T577" s="158"/>
    </row>
    <row r="578">
      <c r="A578" s="152"/>
      <c r="B578" s="153"/>
      <c r="C578" s="152"/>
      <c r="D578" s="152"/>
      <c r="E578" s="154">
        <v>3464.0</v>
      </c>
      <c r="F578" s="152"/>
      <c r="G578" s="155"/>
      <c r="H578" s="153" t="s">
        <v>1895</v>
      </c>
      <c r="I578" s="153" t="s">
        <v>156</v>
      </c>
      <c r="J578" s="156">
        <v>573.0</v>
      </c>
      <c r="K578" s="157" t="s">
        <v>1896</v>
      </c>
      <c r="L578" s="158" t="s">
        <v>1897</v>
      </c>
      <c r="M578" s="158"/>
      <c r="N578" s="158"/>
      <c r="O578" s="158"/>
      <c r="P578" s="158"/>
      <c r="Q578" s="158"/>
      <c r="R578" s="158"/>
      <c r="S578" s="158"/>
      <c r="T578" s="158"/>
    </row>
    <row r="579">
      <c r="A579" s="152"/>
      <c r="B579" s="153"/>
      <c r="C579" s="152"/>
      <c r="D579" s="152"/>
      <c r="E579" s="154">
        <v>3465.0</v>
      </c>
      <c r="F579" s="152"/>
      <c r="G579" s="155"/>
      <c r="H579" s="153" t="s">
        <v>1898</v>
      </c>
      <c r="I579" s="153" t="s">
        <v>246</v>
      </c>
      <c r="J579" s="156">
        <v>574.0</v>
      </c>
      <c r="K579" s="157" t="s">
        <v>1899</v>
      </c>
      <c r="L579" s="158" t="s">
        <v>1900</v>
      </c>
      <c r="M579" s="158"/>
      <c r="N579" s="158"/>
      <c r="O579" s="158"/>
      <c r="P579" s="158"/>
      <c r="Q579" s="158"/>
      <c r="R579" s="158"/>
      <c r="S579" s="158"/>
      <c r="T579" s="158"/>
    </row>
    <row r="580">
      <c r="A580" s="152"/>
      <c r="B580" s="153"/>
      <c r="C580" s="152"/>
      <c r="D580" s="152"/>
      <c r="E580" s="154">
        <v>3466.0</v>
      </c>
      <c r="F580" s="152"/>
      <c r="G580" s="155"/>
      <c r="H580" s="153" t="s">
        <v>1901</v>
      </c>
      <c r="I580" s="153" t="s">
        <v>401</v>
      </c>
      <c r="J580" s="156">
        <v>575.0</v>
      </c>
      <c r="K580" s="157" t="s">
        <v>1902</v>
      </c>
      <c r="L580" s="153" t="s">
        <v>1903</v>
      </c>
      <c r="M580" s="153"/>
      <c r="N580" s="153"/>
      <c r="O580" s="153"/>
      <c r="P580" s="153"/>
      <c r="Q580" s="153"/>
      <c r="R580" s="153"/>
      <c r="S580" s="153"/>
      <c r="T580" s="153"/>
    </row>
    <row r="581">
      <c r="A581" s="152"/>
      <c r="B581" s="153"/>
      <c r="C581" s="152"/>
      <c r="D581" s="152"/>
      <c r="E581" s="154">
        <v>3511.0</v>
      </c>
      <c r="F581" s="152"/>
      <c r="G581" s="155"/>
      <c r="H581" s="153" t="s">
        <v>1904</v>
      </c>
      <c r="I581" s="153" t="s">
        <v>434</v>
      </c>
      <c r="J581" s="156">
        <v>576.0</v>
      </c>
      <c r="K581" s="157" t="s">
        <v>1905</v>
      </c>
      <c r="L581" s="153" t="s">
        <v>1906</v>
      </c>
      <c r="M581" s="153"/>
      <c r="N581" s="153"/>
      <c r="O581" s="153"/>
      <c r="P581" s="153"/>
      <c r="Q581" s="153"/>
      <c r="R581" s="153"/>
      <c r="S581" s="153"/>
      <c r="T581" s="153"/>
    </row>
    <row r="582">
      <c r="A582" s="152"/>
      <c r="B582" s="153"/>
      <c r="C582" s="152"/>
      <c r="D582" s="152"/>
      <c r="E582" s="154">
        <v>3512.0</v>
      </c>
      <c r="F582" s="152"/>
      <c r="G582" s="155"/>
      <c r="H582" s="153" t="s">
        <v>1907</v>
      </c>
      <c r="I582" s="153" t="s">
        <v>246</v>
      </c>
      <c r="J582" s="156">
        <v>577.0</v>
      </c>
      <c r="K582" s="157" t="s">
        <v>1908</v>
      </c>
      <c r="L582" s="158" t="s">
        <v>1909</v>
      </c>
      <c r="M582" s="158"/>
      <c r="N582" s="158"/>
      <c r="O582" s="158"/>
      <c r="P582" s="158"/>
      <c r="Q582" s="158"/>
      <c r="R582" s="158"/>
      <c r="S582" s="158"/>
      <c r="T582" s="158"/>
    </row>
    <row r="583">
      <c r="A583" s="152"/>
      <c r="B583" s="153"/>
      <c r="C583" s="152"/>
      <c r="D583" s="152"/>
      <c r="E583" s="154">
        <v>3513.0</v>
      </c>
      <c r="F583" s="152"/>
      <c r="G583" s="155"/>
      <c r="H583" s="153" t="s">
        <v>1910</v>
      </c>
      <c r="I583" s="153" t="s">
        <v>246</v>
      </c>
      <c r="J583" s="156">
        <v>578.0</v>
      </c>
      <c r="K583" s="157" t="s">
        <v>1911</v>
      </c>
      <c r="L583" s="153" t="s">
        <v>1912</v>
      </c>
      <c r="M583" s="153"/>
      <c r="N583" s="153"/>
      <c r="O583" s="153"/>
      <c r="P583" s="153"/>
      <c r="Q583" s="153"/>
      <c r="R583" s="153"/>
      <c r="S583" s="153"/>
      <c r="T583" s="153"/>
    </row>
    <row r="584">
      <c r="A584" s="152"/>
      <c r="B584" s="153"/>
      <c r="C584" s="152"/>
      <c r="D584" s="152"/>
      <c r="E584" s="154">
        <v>3514.0</v>
      </c>
      <c r="F584" s="152"/>
      <c r="G584" s="155"/>
      <c r="H584" s="153" t="s">
        <v>1913</v>
      </c>
      <c r="I584" s="153" t="s">
        <v>188</v>
      </c>
      <c r="J584" s="156">
        <v>579.0</v>
      </c>
      <c r="K584" s="157" t="s">
        <v>1914</v>
      </c>
      <c r="L584" s="153" t="s">
        <v>1915</v>
      </c>
      <c r="M584" s="153"/>
      <c r="N584" s="153"/>
      <c r="O584" s="153"/>
      <c r="P584" s="153"/>
      <c r="Q584" s="153"/>
      <c r="R584" s="153"/>
      <c r="S584" s="153"/>
      <c r="T584" s="153"/>
    </row>
    <row r="585">
      <c r="A585" s="152"/>
      <c r="B585" s="153"/>
      <c r="C585" s="152"/>
      <c r="D585" s="152"/>
      <c r="E585" s="154">
        <v>3515.0</v>
      </c>
      <c r="F585" s="152"/>
      <c r="G585" s="155"/>
      <c r="H585" s="153" t="s">
        <v>1916</v>
      </c>
      <c r="I585" s="153" t="s">
        <v>182</v>
      </c>
      <c r="J585" s="156">
        <v>580.0</v>
      </c>
      <c r="K585" s="157" t="s">
        <v>1917</v>
      </c>
      <c r="L585" s="153" t="s">
        <v>1918</v>
      </c>
      <c r="M585" s="153"/>
      <c r="N585" s="153"/>
      <c r="O585" s="153"/>
      <c r="P585" s="153"/>
      <c r="Q585" s="153"/>
      <c r="R585" s="153"/>
      <c r="S585" s="153"/>
      <c r="T585" s="153"/>
    </row>
    <row r="586">
      <c r="A586" s="152"/>
      <c r="B586" s="153"/>
      <c r="C586" s="152"/>
      <c r="D586" s="152"/>
      <c r="E586" s="154">
        <v>3516.0</v>
      </c>
      <c r="F586" s="152"/>
      <c r="G586" s="155"/>
      <c r="H586" s="153" t="s">
        <v>1919</v>
      </c>
      <c r="I586" s="153" t="s">
        <v>182</v>
      </c>
      <c r="J586" s="156">
        <v>581.0</v>
      </c>
      <c r="K586" s="157" t="s">
        <v>1920</v>
      </c>
      <c r="L586" s="153" t="s">
        <v>1921</v>
      </c>
      <c r="M586" s="153"/>
      <c r="N586" s="153"/>
      <c r="O586" s="153"/>
      <c r="P586" s="153"/>
      <c r="Q586" s="153"/>
      <c r="R586" s="153"/>
      <c r="S586" s="153"/>
      <c r="T586" s="153"/>
    </row>
    <row r="587">
      <c r="A587" s="152"/>
      <c r="B587" s="153"/>
      <c r="C587" s="152"/>
      <c r="D587" s="152"/>
      <c r="E587" s="154">
        <v>3521.0</v>
      </c>
      <c r="F587" s="152"/>
      <c r="G587" s="155"/>
      <c r="H587" s="153" t="s">
        <v>1922</v>
      </c>
      <c r="I587" s="153" t="s">
        <v>246</v>
      </c>
      <c r="J587" s="156">
        <v>582.0</v>
      </c>
      <c r="K587" s="157" t="s">
        <v>1923</v>
      </c>
      <c r="L587" s="153" t="s">
        <v>1924</v>
      </c>
      <c r="M587" s="153"/>
      <c r="N587" s="153"/>
      <c r="O587" s="153"/>
      <c r="P587" s="153"/>
      <c r="Q587" s="153"/>
      <c r="R587" s="153"/>
      <c r="S587" s="153"/>
      <c r="T587" s="153"/>
    </row>
    <row r="588">
      <c r="A588" s="152"/>
      <c r="B588" s="153"/>
      <c r="C588" s="152"/>
      <c r="D588" s="152"/>
      <c r="E588" s="154">
        <v>3522.0</v>
      </c>
      <c r="F588" s="152"/>
      <c r="G588" s="155"/>
      <c r="H588" s="153" t="s">
        <v>1925</v>
      </c>
      <c r="I588" s="153" t="s">
        <v>182</v>
      </c>
      <c r="J588" s="156">
        <v>583.0</v>
      </c>
      <c r="K588" s="157" t="s">
        <v>1926</v>
      </c>
      <c r="L588" s="158" t="s">
        <v>1927</v>
      </c>
      <c r="M588" s="158"/>
      <c r="N588" s="158"/>
      <c r="O588" s="158"/>
      <c r="P588" s="158"/>
      <c r="Q588" s="158"/>
      <c r="R588" s="158"/>
      <c r="S588" s="158"/>
      <c r="T588" s="158"/>
    </row>
    <row r="589">
      <c r="A589" s="152"/>
      <c r="B589" s="153"/>
      <c r="C589" s="152"/>
      <c r="D589" s="152"/>
      <c r="E589" s="154">
        <v>3523.0</v>
      </c>
      <c r="F589" s="152"/>
      <c r="G589" s="155"/>
      <c r="H589" s="153" t="s">
        <v>1928</v>
      </c>
      <c r="I589" s="153" t="s">
        <v>1435</v>
      </c>
      <c r="J589" s="156">
        <v>584.0</v>
      </c>
      <c r="K589" s="157" t="s">
        <v>1929</v>
      </c>
      <c r="L589" s="158" t="s">
        <v>1930</v>
      </c>
      <c r="M589" s="158"/>
      <c r="N589" s="158"/>
      <c r="O589" s="158"/>
      <c r="P589" s="158"/>
      <c r="Q589" s="158"/>
      <c r="R589" s="158"/>
      <c r="S589" s="158"/>
      <c r="T589" s="158"/>
    </row>
    <row r="590">
      <c r="A590" s="152"/>
      <c r="B590" s="153"/>
      <c r="C590" s="152"/>
      <c r="D590" s="152"/>
      <c r="E590" s="154">
        <v>3524.0</v>
      </c>
      <c r="F590" s="152"/>
      <c r="G590" s="155"/>
      <c r="H590" s="153" t="s">
        <v>1931</v>
      </c>
      <c r="I590" s="153" t="s">
        <v>167</v>
      </c>
      <c r="J590" s="156">
        <v>585.0</v>
      </c>
      <c r="K590" s="157" t="s">
        <v>1932</v>
      </c>
      <c r="L590" s="153" t="s">
        <v>1933</v>
      </c>
      <c r="M590" s="153"/>
      <c r="N590" s="153"/>
      <c r="O590" s="153"/>
      <c r="P590" s="153"/>
      <c r="Q590" s="153"/>
      <c r="R590" s="153"/>
      <c r="S590" s="153"/>
      <c r="T590" s="153"/>
    </row>
    <row r="591">
      <c r="A591" s="152"/>
      <c r="B591" s="153"/>
      <c r="C591" s="152"/>
      <c r="D591" s="152"/>
      <c r="E591" s="154">
        <v>3525.0</v>
      </c>
      <c r="F591" s="152"/>
      <c r="G591" s="155"/>
      <c r="H591" s="153" t="s">
        <v>1934</v>
      </c>
      <c r="I591" s="153" t="s">
        <v>1054</v>
      </c>
      <c r="J591" s="156">
        <v>586.0</v>
      </c>
      <c r="K591" s="157" t="s">
        <v>1935</v>
      </c>
      <c r="L591" s="153" t="s">
        <v>1936</v>
      </c>
      <c r="M591" s="153"/>
      <c r="N591" s="153"/>
      <c r="O591" s="153"/>
      <c r="P591" s="153"/>
      <c r="Q591" s="153"/>
      <c r="R591" s="153"/>
      <c r="S591" s="153"/>
      <c r="T591" s="153"/>
    </row>
    <row r="592">
      <c r="A592" s="152"/>
      <c r="B592" s="153"/>
      <c r="C592" s="152"/>
      <c r="D592" s="152"/>
      <c r="E592" s="154">
        <v>3526.0</v>
      </c>
      <c r="F592" s="152"/>
      <c r="G592" s="155"/>
      <c r="H592" s="153" t="s">
        <v>1937</v>
      </c>
      <c r="I592" s="153" t="s">
        <v>1054</v>
      </c>
      <c r="J592" s="156">
        <v>587.0</v>
      </c>
      <c r="K592" s="157" t="s">
        <v>1938</v>
      </c>
      <c r="L592" s="158" t="s">
        <v>1939</v>
      </c>
      <c r="M592" s="158"/>
      <c r="N592" s="158"/>
      <c r="O592" s="158"/>
      <c r="P592" s="158"/>
      <c r="Q592" s="158"/>
      <c r="R592" s="158"/>
      <c r="S592" s="158"/>
      <c r="T592" s="158"/>
    </row>
    <row r="593">
      <c r="A593" s="152"/>
      <c r="B593" s="153"/>
      <c r="C593" s="152"/>
      <c r="D593" s="152"/>
      <c r="E593" s="154">
        <v>3531.0</v>
      </c>
      <c r="F593" s="152"/>
      <c r="G593" s="155"/>
      <c r="H593" s="153" t="s">
        <v>1940</v>
      </c>
      <c r="I593" s="153" t="s">
        <v>182</v>
      </c>
      <c r="J593" s="156">
        <v>588.0</v>
      </c>
      <c r="K593" s="157" t="s">
        <v>1941</v>
      </c>
      <c r="L593" s="158" t="s">
        <v>1942</v>
      </c>
      <c r="M593" s="158"/>
      <c r="N593" s="158"/>
      <c r="O593" s="158"/>
      <c r="P593" s="158"/>
      <c r="Q593" s="158"/>
      <c r="R593" s="158"/>
      <c r="S593" s="158"/>
      <c r="T593" s="158"/>
    </row>
    <row r="594">
      <c r="A594" s="152"/>
      <c r="B594" s="153"/>
      <c r="C594" s="152"/>
      <c r="D594" s="152"/>
      <c r="E594" s="154">
        <v>3532.0</v>
      </c>
      <c r="F594" s="152"/>
      <c r="G594" s="155"/>
      <c r="H594" s="153" t="s">
        <v>1943</v>
      </c>
      <c r="I594" s="153" t="s">
        <v>246</v>
      </c>
      <c r="J594" s="156">
        <v>589.0</v>
      </c>
      <c r="K594" s="157" t="s">
        <v>1944</v>
      </c>
      <c r="L594" s="153" t="s">
        <v>1924</v>
      </c>
      <c r="M594" s="153"/>
      <c r="N594" s="153"/>
      <c r="O594" s="153"/>
      <c r="P594" s="153"/>
      <c r="Q594" s="153"/>
      <c r="R594" s="153"/>
      <c r="S594" s="153"/>
      <c r="T594" s="153"/>
    </row>
    <row r="595">
      <c r="A595" s="152"/>
      <c r="B595" s="153"/>
      <c r="C595" s="152"/>
      <c r="D595" s="152"/>
      <c r="E595" s="154">
        <v>3533.0</v>
      </c>
      <c r="F595" s="152"/>
      <c r="G595" s="155"/>
      <c r="H595" s="153" t="s">
        <v>1945</v>
      </c>
      <c r="I595" s="153" t="s">
        <v>246</v>
      </c>
      <c r="J595" s="156">
        <v>590.0</v>
      </c>
      <c r="K595" s="157" t="s">
        <v>1946</v>
      </c>
      <c r="L595" s="153" t="s">
        <v>1947</v>
      </c>
      <c r="M595" s="153"/>
      <c r="N595" s="153"/>
      <c r="O595" s="153"/>
      <c r="P595" s="153"/>
      <c r="Q595" s="153"/>
      <c r="R595" s="153"/>
      <c r="S595" s="153"/>
      <c r="T595" s="153"/>
    </row>
    <row r="596">
      <c r="A596" s="152"/>
      <c r="B596" s="153"/>
      <c r="C596" s="152"/>
      <c r="D596" s="152"/>
      <c r="E596" s="154">
        <v>3534.0</v>
      </c>
      <c r="F596" s="152"/>
      <c r="G596" s="155"/>
      <c r="H596" s="153" t="s">
        <v>1948</v>
      </c>
      <c r="I596" s="153" t="s">
        <v>230</v>
      </c>
      <c r="J596" s="156">
        <v>591.0</v>
      </c>
      <c r="K596" s="157" t="s">
        <v>1949</v>
      </c>
      <c r="L596" s="158" t="s">
        <v>1950</v>
      </c>
      <c r="M596" s="158"/>
      <c r="N596" s="158"/>
      <c r="O596" s="158"/>
      <c r="P596" s="158"/>
      <c r="Q596" s="158"/>
      <c r="R596" s="158"/>
      <c r="S596" s="158"/>
      <c r="T596" s="158"/>
    </row>
    <row r="597">
      <c r="A597" s="152"/>
      <c r="B597" s="153"/>
      <c r="C597" s="152"/>
      <c r="D597" s="152"/>
      <c r="E597" s="154">
        <v>3535.0</v>
      </c>
      <c r="F597" s="152"/>
      <c r="G597" s="155"/>
      <c r="H597" s="153" t="s">
        <v>1951</v>
      </c>
      <c r="I597" s="153" t="s">
        <v>1604</v>
      </c>
      <c r="J597" s="156">
        <v>592.0</v>
      </c>
      <c r="K597" s="157" t="s">
        <v>1952</v>
      </c>
      <c r="L597" s="158" t="s">
        <v>1894</v>
      </c>
      <c r="M597" s="158"/>
      <c r="N597" s="158"/>
      <c r="O597" s="158"/>
      <c r="P597" s="158"/>
      <c r="Q597" s="158"/>
      <c r="R597" s="158"/>
      <c r="S597" s="158"/>
      <c r="T597" s="158"/>
    </row>
    <row r="598">
      <c r="A598" s="152"/>
      <c r="B598" s="153"/>
      <c r="C598" s="152"/>
      <c r="D598" s="152"/>
      <c r="E598" s="154">
        <v>3536.0</v>
      </c>
      <c r="F598" s="152"/>
      <c r="G598" s="155"/>
      <c r="H598" s="153" t="s">
        <v>1953</v>
      </c>
      <c r="I598" s="153" t="s">
        <v>167</v>
      </c>
      <c r="J598" s="156">
        <v>593.0</v>
      </c>
      <c r="K598" s="157" t="s">
        <v>1954</v>
      </c>
      <c r="L598" s="158" t="s">
        <v>1873</v>
      </c>
      <c r="M598" s="158"/>
      <c r="N598" s="158"/>
      <c r="O598" s="158"/>
      <c r="P598" s="158"/>
      <c r="Q598" s="158"/>
      <c r="R598" s="158"/>
      <c r="S598" s="158"/>
      <c r="T598" s="158"/>
    </row>
    <row r="599">
      <c r="A599" s="152"/>
      <c r="B599" s="153"/>
      <c r="C599" s="152"/>
      <c r="D599" s="152"/>
      <c r="E599" s="154">
        <v>3541.0</v>
      </c>
      <c r="F599" s="152"/>
      <c r="G599" s="155"/>
      <c r="H599" s="153" t="s">
        <v>1955</v>
      </c>
      <c r="I599" s="153" t="s">
        <v>1604</v>
      </c>
      <c r="J599" s="156">
        <v>594.0</v>
      </c>
      <c r="K599" s="157" t="s">
        <v>1956</v>
      </c>
      <c r="L599" s="158" t="s">
        <v>1957</v>
      </c>
      <c r="M599" s="158"/>
      <c r="N599" s="158"/>
      <c r="O599" s="158"/>
      <c r="P599" s="158"/>
      <c r="Q599" s="158"/>
      <c r="R599" s="158"/>
      <c r="S599" s="158"/>
      <c r="T599" s="158"/>
    </row>
    <row r="600">
      <c r="A600" s="152"/>
      <c r="B600" s="153"/>
      <c r="C600" s="152"/>
      <c r="D600" s="152"/>
      <c r="E600" s="154">
        <v>3542.0</v>
      </c>
      <c r="F600" s="152"/>
      <c r="G600" s="155"/>
      <c r="H600" s="153" t="s">
        <v>1958</v>
      </c>
      <c r="I600" s="153" t="s">
        <v>167</v>
      </c>
      <c r="J600" s="156">
        <v>595.0</v>
      </c>
      <c r="K600" s="157" t="s">
        <v>1959</v>
      </c>
      <c r="L600" s="158" t="s">
        <v>1873</v>
      </c>
      <c r="M600" s="158"/>
      <c r="N600" s="158"/>
      <c r="O600" s="158"/>
      <c r="P600" s="158"/>
      <c r="Q600" s="158"/>
      <c r="R600" s="158"/>
      <c r="S600" s="158"/>
      <c r="T600" s="158"/>
    </row>
    <row r="601">
      <c r="A601" s="152"/>
      <c r="B601" s="153"/>
      <c r="C601" s="152"/>
      <c r="D601" s="152"/>
      <c r="E601" s="154">
        <v>3543.0</v>
      </c>
      <c r="F601" s="152"/>
      <c r="G601" s="155"/>
      <c r="H601" s="153" t="s">
        <v>1960</v>
      </c>
      <c r="I601" s="153" t="s">
        <v>182</v>
      </c>
      <c r="J601" s="156">
        <v>596.0</v>
      </c>
      <c r="K601" s="157" t="s">
        <v>1961</v>
      </c>
      <c r="L601" s="158" t="s">
        <v>1962</v>
      </c>
      <c r="M601" s="158"/>
      <c r="N601" s="158"/>
      <c r="O601" s="158"/>
      <c r="P601" s="158"/>
      <c r="Q601" s="158"/>
      <c r="R601" s="158"/>
      <c r="S601" s="158"/>
      <c r="T601" s="158"/>
    </row>
    <row r="602">
      <c r="A602" s="152"/>
      <c r="B602" s="153"/>
      <c r="C602" s="152"/>
      <c r="D602" s="152"/>
      <c r="E602" s="154">
        <v>3544.0</v>
      </c>
      <c r="F602" s="152"/>
      <c r="G602" s="155"/>
      <c r="H602" s="153" t="s">
        <v>1963</v>
      </c>
      <c r="I602" s="153" t="s">
        <v>207</v>
      </c>
      <c r="J602" s="156">
        <v>597.0</v>
      </c>
      <c r="K602" s="157" t="s">
        <v>1964</v>
      </c>
      <c r="L602" s="158" t="s">
        <v>1965</v>
      </c>
      <c r="M602" s="158"/>
      <c r="N602" s="158"/>
      <c r="O602" s="158"/>
      <c r="P602" s="158"/>
      <c r="Q602" s="158"/>
      <c r="R602" s="158"/>
      <c r="S602" s="158"/>
      <c r="T602" s="158"/>
    </row>
    <row r="603">
      <c r="A603" s="152"/>
      <c r="B603" s="153"/>
      <c r="C603" s="152"/>
      <c r="D603" s="152"/>
      <c r="E603" s="154">
        <v>3545.0</v>
      </c>
      <c r="F603" s="152"/>
      <c r="G603" s="155"/>
      <c r="H603" s="153" t="s">
        <v>1966</v>
      </c>
      <c r="I603" s="153" t="s">
        <v>188</v>
      </c>
      <c r="J603" s="156">
        <v>598.0</v>
      </c>
      <c r="K603" s="157" t="s">
        <v>1967</v>
      </c>
      <c r="L603" s="153" t="s">
        <v>1968</v>
      </c>
      <c r="M603" s="153"/>
      <c r="N603" s="153"/>
      <c r="O603" s="153"/>
      <c r="P603" s="153"/>
      <c r="Q603" s="153"/>
      <c r="R603" s="153"/>
      <c r="S603" s="153"/>
      <c r="T603" s="153"/>
    </row>
    <row r="604">
      <c r="A604" s="152"/>
      <c r="B604" s="153"/>
      <c r="C604" s="152"/>
      <c r="D604" s="152"/>
      <c r="E604" s="154">
        <v>3546.0</v>
      </c>
      <c r="F604" s="152"/>
      <c r="G604" s="155"/>
      <c r="H604" s="153" t="s">
        <v>1969</v>
      </c>
      <c r="I604" s="153" t="s">
        <v>207</v>
      </c>
      <c r="J604" s="156">
        <v>599.0</v>
      </c>
      <c r="K604" s="157" t="s">
        <v>1970</v>
      </c>
      <c r="L604" s="158" t="s">
        <v>1965</v>
      </c>
      <c r="M604" s="158"/>
      <c r="N604" s="158"/>
      <c r="O604" s="158"/>
      <c r="P604" s="158"/>
      <c r="Q604" s="158"/>
      <c r="R604" s="158"/>
      <c r="S604" s="158"/>
      <c r="T604" s="158"/>
    </row>
    <row r="605">
      <c r="A605" s="152"/>
      <c r="B605" s="153"/>
      <c r="C605" s="152"/>
      <c r="D605" s="152"/>
      <c r="E605" s="154">
        <v>3551.0</v>
      </c>
      <c r="F605" s="152"/>
      <c r="G605" s="155"/>
      <c r="H605" s="153" t="s">
        <v>1971</v>
      </c>
      <c r="I605" s="153" t="s">
        <v>1526</v>
      </c>
      <c r="J605" s="156">
        <v>600.0</v>
      </c>
      <c r="K605" s="157" t="s">
        <v>1972</v>
      </c>
      <c r="L605" s="153" t="s">
        <v>1973</v>
      </c>
      <c r="M605" s="153"/>
      <c r="N605" s="153"/>
      <c r="O605" s="153"/>
      <c r="P605" s="153"/>
      <c r="Q605" s="153"/>
      <c r="R605" s="153"/>
      <c r="S605" s="153"/>
      <c r="T605" s="153"/>
    </row>
    <row r="606">
      <c r="A606" s="152"/>
      <c r="B606" s="153"/>
      <c r="C606" s="152"/>
      <c r="D606" s="152"/>
      <c r="E606" s="154">
        <v>3552.0</v>
      </c>
      <c r="F606" s="152"/>
      <c r="G606" s="155"/>
      <c r="H606" s="153" t="s">
        <v>1974</v>
      </c>
      <c r="I606" s="153" t="s">
        <v>1604</v>
      </c>
      <c r="J606" s="156">
        <v>601.0</v>
      </c>
      <c r="K606" s="157" t="s">
        <v>1975</v>
      </c>
      <c r="L606" s="158" t="s">
        <v>1894</v>
      </c>
      <c r="M606" s="158"/>
      <c r="N606" s="158"/>
      <c r="O606" s="158"/>
      <c r="P606" s="158"/>
      <c r="Q606" s="158"/>
      <c r="R606" s="158"/>
      <c r="S606" s="158"/>
      <c r="T606" s="158"/>
    </row>
    <row r="607">
      <c r="A607" s="152"/>
      <c r="B607" s="153"/>
      <c r="C607" s="152"/>
      <c r="D607" s="152"/>
      <c r="E607" s="154">
        <v>3553.0</v>
      </c>
      <c r="F607" s="152"/>
      <c r="G607" s="155"/>
      <c r="H607" s="153" t="s">
        <v>1976</v>
      </c>
      <c r="I607" s="153" t="s">
        <v>230</v>
      </c>
      <c r="J607" s="156">
        <v>602.0</v>
      </c>
      <c r="K607" s="157" t="s">
        <v>1977</v>
      </c>
      <c r="L607" s="153" t="s">
        <v>1978</v>
      </c>
      <c r="M607" s="153"/>
      <c r="N607" s="153"/>
      <c r="O607" s="153"/>
      <c r="P607" s="153"/>
      <c r="Q607" s="153"/>
      <c r="R607" s="153"/>
      <c r="S607" s="153"/>
      <c r="T607" s="153"/>
    </row>
    <row r="608">
      <c r="A608" s="152"/>
      <c r="B608" s="153"/>
      <c r="C608" s="152"/>
      <c r="D608" s="152"/>
      <c r="E608" s="154">
        <v>3554.0</v>
      </c>
      <c r="F608" s="152"/>
      <c r="G608" s="155"/>
      <c r="H608" s="153" t="s">
        <v>1979</v>
      </c>
      <c r="I608" s="153" t="s">
        <v>230</v>
      </c>
      <c r="J608" s="156">
        <v>603.0</v>
      </c>
      <c r="K608" s="157" t="s">
        <v>1980</v>
      </c>
      <c r="L608" s="153" t="s">
        <v>1981</v>
      </c>
      <c r="M608" s="153"/>
      <c r="N608" s="153"/>
      <c r="O608" s="153"/>
      <c r="P608" s="153"/>
      <c r="Q608" s="153"/>
      <c r="R608" s="153"/>
      <c r="S608" s="153"/>
      <c r="T608" s="153"/>
    </row>
    <row r="609">
      <c r="A609" s="152"/>
      <c r="B609" s="153"/>
      <c r="C609" s="152"/>
      <c r="D609" s="152"/>
      <c r="E609" s="154">
        <v>3555.0</v>
      </c>
      <c r="F609" s="152"/>
      <c r="G609" s="155"/>
      <c r="H609" s="153" t="s">
        <v>1982</v>
      </c>
      <c r="I609" s="153" t="s">
        <v>167</v>
      </c>
      <c r="J609" s="156">
        <v>604.0</v>
      </c>
      <c r="K609" s="157" t="s">
        <v>1983</v>
      </c>
      <c r="L609" s="158" t="s">
        <v>1984</v>
      </c>
      <c r="M609" s="158"/>
      <c r="N609" s="158"/>
      <c r="O609" s="158"/>
      <c r="P609" s="158"/>
      <c r="Q609" s="158"/>
      <c r="R609" s="158"/>
      <c r="S609" s="158"/>
      <c r="T609" s="158"/>
    </row>
    <row r="610">
      <c r="A610" s="152"/>
      <c r="B610" s="153"/>
      <c r="C610" s="152"/>
      <c r="D610" s="152"/>
      <c r="E610" s="154">
        <v>3556.0</v>
      </c>
      <c r="F610" s="152"/>
      <c r="G610" s="155"/>
      <c r="H610" s="153" t="s">
        <v>1985</v>
      </c>
      <c r="I610" s="153" t="s">
        <v>1604</v>
      </c>
      <c r="J610" s="156">
        <v>605.0</v>
      </c>
      <c r="K610" s="157" t="s">
        <v>1986</v>
      </c>
      <c r="L610" s="158" t="s">
        <v>1894</v>
      </c>
      <c r="M610" s="158"/>
      <c r="N610" s="158"/>
      <c r="O610" s="158"/>
      <c r="P610" s="158"/>
      <c r="Q610" s="158"/>
      <c r="R610" s="158"/>
      <c r="S610" s="158"/>
      <c r="T610" s="158"/>
    </row>
    <row r="611">
      <c r="A611" s="152"/>
      <c r="B611" s="153"/>
      <c r="C611" s="152"/>
      <c r="D611" s="152"/>
      <c r="E611" s="154">
        <v>3561.0</v>
      </c>
      <c r="F611" s="152"/>
      <c r="G611" s="155"/>
      <c r="H611" s="153" t="s">
        <v>1987</v>
      </c>
      <c r="I611" s="153" t="s">
        <v>434</v>
      </c>
      <c r="J611" s="156">
        <v>606.0</v>
      </c>
      <c r="K611" s="157" t="s">
        <v>1988</v>
      </c>
      <c r="L611" s="158" t="s">
        <v>1989</v>
      </c>
      <c r="M611" s="158"/>
      <c r="N611" s="158"/>
      <c r="O611" s="158"/>
      <c r="P611" s="158"/>
      <c r="Q611" s="158"/>
      <c r="R611" s="158"/>
      <c r="S611" s="158"/>
      <c r="T611" s="158"/>
    </row>
    <row r="612">
      <c r="A612" s="152"/>
      <c r="B612" s="153"/>
      <c r="C612" s="152"/>
      <c r="D612" s="152"/>
      <c r="E612" s="154">
        <v>3562.0</v>
      </c>
      <c r="F612" s="152"/>
      <c r="G612" s="155"/>
      <c r="H612" s="153" t="s">
        <v>1990</v>
      </c>
      <c r="I612" s="153" t="s">
        <v>434</v>
      </c>
      <c r="J612" s="156">
        <v>607.0</v>
      </c>
      <c r="K612" s="157" t="s">
        <v>1991</v>
      </c>
      <c r="L612" s="153" t="s">
        <v>1992</v>
      </c>
      <c r="M612" s="153"/>
      <c r="N612" s="153"/>
      <c r="O612" s="153"/>
      <c r="P612" s="153"/>
      <c r="Q612" s="153"/>
      <c r="R612" s="153"/>
      <c r="S612" s="153"/>
      <c r="T612" s="153"/>
    </row>
    <row r="613">
      <c r="A613" s="152"/>
      <c r="B613" s="153"/>
      <c r="C613" s="152"/>
      <c r="D613" s="152"/>
      <c r="E613" s="154">
        <v>3563.0</v>
      </c>
      <c r="F613" s="152"/>
      <c r="G613" s="155"/>
      <c r="H613" s="153" t="s">
        <v>1993</v>
      </c>
      <c r="I613" s="153" t="s">
        <v>434</v>
      </c>
      <c r="J613" s="156">
        <v>608.0</v>
      </c>
      <c r="K613" s="157" t="s">
        <v>1994</v>
      </c>
      <c r="L613" s="158" t="s">
        <v>1995</v>
      </c>
      <c r="M613" s="158"/>
      <c r="N613" s="158"/>
      <c r="O613" s="158"/>
      <c r="P613" s="158"/>
      <c r="Q613" s="158"/>
      <c r="R613" s="158"/>
      <c r="S613" s="158"/>
      <c r="T613" s="158"/>
    </row>
    <row r="614">
      <c r="A614" s="152"/>
      <c r="B614" s="153"/>
      <c r="C614" s="152"/>
      <c r="D614" s="152"/>
      <c r="E614" s="154">
        <v>3564.0</v>
      </c>
      <c r="F614" s="152"/>
      <c r="G614" s="155"/>
      <c r="H614" s="153" t="s">
        <v>1996</v>
      </c>
      <c r="I614" s="153" t="s">
        <v>230</v>
      </c>
      <c r="J614" s="156">
        <v>609.0</v>
      </c>
      <c r="K614" s="157" t="s">
        <v>1997</v>
      </c>
      <c r="L614" s="158" t="s">
        <v>1998</v>
      </c>
      <c r="M614" s="158"/>
      <c r="N614" s="158"/>
      <c r="O614" s="158"/>
      <c r="P614" s="158"/>
      <c r="Q614" s="158"/>
      <c r="R614" s="158"/>
      <c r="S614" s="158"/>
      <c r="T614" s="158"/>
    </row>
    <row r="615">
      <c r="A615" s="152"/>
      <c r="B615" s="153"/>
      <c r="C615" s="152"/>
      <c r="D615" s="152"/>
      <c r="E615" s="154">
        <v>3565.0</v>
      </c>
      <c r="F615" s="152"/>
      <c r="G615" s="155"/>
      <c r="H615" s="153" t="s">
        <v>1999</v>
      </c>
      <c r="I615" s="153" t="s">
        <v>453</v>
      </c>
      <c r="J615" s="156">
        <v>610.0</v>
      </c>
      <c r="K615" s="157" t="s">
        <v>2000</v>
      </c>
      <c r="L615" s="153" t="s">
        <v>2001</v>
      </c>
      <c r="M615" s="153"/>
      <c r="N615" s="153"/>
      <c r="O615" s="153"/>
      <c r="P615" s="153"/>
      <c r="Q615" s="153"/>
      <c r="R615" s="153"/>
      <c r="S615" s="153"/>
      <c r="T615" s="153"/>
    </row>
    <row r="616">
      <c r="A616" s="152"/>
      <c r="B616" s="153"/>
      <c r="C616" s="152"/>
      <c r="D616" s="152"/>
      <c r="E616" s="154">
        <v>3566.0</v>
      </c>
      <c r="F616" s="152"/>
      <c r="G616" s="155"/>
      <c r="H616" s="153" t="s">
        <v>2002</v>
      </c>
      <c r="I616" s="153" t="s">
        <v>453</v>
      </c>
      <c r="J616" s="156">
        <v>611.0</v>
      </c>
      <c r="K616" s="157" t="s">
        <v>2003</v>
      </c>
      <c r="L616" s="153" t="s">
        <v>2004</v>
      </c>
      <c r="M616" s="153"/>
      <c r="N616" s="153"/>
      <c r="O616" s="153"/>
      <c r="P616" s="153"/>
      <c r="Q616" s="153"/>
      <c r="R616" s="153"/>
      <c r="S616" s="153"/>
      <c r="T616" s="153"/>
    </row>
    <row r="617">
      <c r="A617" s="152"/>
      <c r="B617" s="153"/>
      <c r="C617" s="152"/>
      <c r="D617" s="152"/>
      <c r="E617" s="154">
        <v>3611.0</v>
      </c>
      <c r="F617" s="152"/>
      <c r="G617" s="155"/>
      <c r="H617" s="153" t="s">
        <v>2005</v>
      </c>
      <c r="I617" s="153" t="s">
        <v>246</v>
      </c>
      <c r="J617" s="156">
        <v>612.0</v>
      </c>
      <c r="K617" s="157" t="s">
        <v>2006</v>
      </c>
      <c r="L617" s="153" t="s">
        <v>2007</v>
      </c>
      <c r="M617" s="153"/>
      <c r="N617" s="153"/>
      <c r="O617" s="153"/>
      <c r="P617" s="153"/>
      <c r="Q617" s="153"/>
      <c r="R617" s="153"/>
      <c r="S617" s="153"/>
      <c r="T617" s="153"/>
    </row>
    <row r="618">
      <c r="A618" s="152"/>
      <c r="B618" s="153"/>
      <c r="C618" s="152"/>
      <c r="D618" s="152"/>
      <c r="E618" s="154">
        <v>3612.0</v>
      </c>
      <c r="F618" s="152"/>
      <c r="G618" s="155"/>
      <c r="H618" s="153" t="s">
        <v>2008</v>
      </c>
      <c r="I618" s="153" t="s">
        <v>608</v>
      </c>
      <c r="J618" s="156">
        <v>613.0</v>
      </c>
      <c r="K618" s="157" t="s">
        <v>2009</v>
      </c>
      <c r="L618" s="153" t="s">
        <v>2010</v>
      </c>
      <c r="M618" s="153"/>
      <c r="N618" s="153"/>
      <c r="O618" s="153"/>
      <c r="P618" s="153"/>
      <c r="Q618" s="153"/>
      <c r="R618" s="153"/>
      <c r="S618" s="153"/>
      <c r="T618" s="153"/>
    </row>
    <row r="619">
      <c r="A619" s="152"/>
      <c r="B619" s="153"/>
      <c r="C619" s="152"/>
      <c r="D619" s="152"/>
      <c r="E619" s="154">
        <v>3613.0</v>
      </c>
      <c r="F619" s="152"/>
      <c r="G619" s="155"/>
      <c r="H619" s="153" t="s">
        <v>2011</v>
      </c>
      <c r="I619" s="153" t="s">
        <v>156</v>
      </c>
      <c r="J619" s="156">
        <v>614.0</v>
      </c>
      <c r="K619" s="157" t="s">
        <v>2012</v>
      </c>
      <c r="L619" s="153" t="s">
        <v>2013</v>
      </c>
      <c r="M619" s="153"/>
      <c r="N619" s="153"/>
      <c r="O619" s="153"/>
      <c r="P619" s="153"/>
      <c r="Q619" s="153"/>
      <c r="R619" s="153"/>
      <c r="S619" s="153"/>
      <c r="T619" s="153"/>
    </row>
    <row r="620">
      <c r="A620" s="152"/>
      <c r="B620" s="153"/>
      <c r="C620" s="152"/>
      <c r="D620" s="152"/>
      <c r="E620" s="154">
        <v>3614.0</v>
      </c>
      <c r="F620" s="152"/>
      <c r="G620" s="155"/>
      <c r="H620" s="153" t="s">
        <v>2014</v>
      </c>
      <c r="I620" s="153" t="s">
        <v>230</v>
      </c>
      <c r="J620" s="156">
        <v>615.0</v>
      </c>
      <c r="K620" s="157" t="s">
        <v>2015</v>
      </c>
      <c r="L620" s="158" t="s">
        <v>2016</v>
      </c>
      <c r="M620" s="158"/>
      <c r="N620" s="158"/>
      <c r="O620" s="158"/>
      <c r="P620" s="158"/>
      <c r="Q620" s="158"/>
      <c r="R620" s="158"/>
      <c r="S620" s="158"/>
      <c r="T620" s="158"/>
    </row>
    <row r="621">
      <c r="A621" s="152"/>
      <c r="B621" s="153"/>
      <c r="C621" s="152"/>
      <c r="D621" s="152"/>
      <c r="E621" s="154">
        <v>3615.0</v>
      </c>
      <c r="F621" s="152"/>
      <c r="G621" s="155"/>
      <c r="H621" s="153" t="s">
        <v>2017</v>
      </c>
      <c r="I621" s="153" t="s">
        <v>188</v>
      </c>
      <c r="J621" s="156">
        <v>616.0</v>
      </c>
      <c r="K621" s="157" t="s">
        <v>2018</v>
      </c>
      <c r="L621" s="158" t="s">
        <v>2019</v>
      </c>
      <c r="M621" s="158"/>
      <c r="N621" s="158"/>
      <c r="O621" s="158"/>
      <c r="P621" s="158"/>
      <c r="Q621" s="158"/>
      <c r="R621" s="158"/>
      <c r="S621" s="158"/>
      <c r="T621" s="158"/>
    </row>
    <row r="622">
      <c r="A622" s="152"/>
      <c r="B622" s="153"/>
      <c r="C622" s="152"/>
      <c r="D622" s="152"/>
      <c r="E622" s="154">
        <v>3616.0</v>
      </c>
      <c r="F622" s="152"/>
      <c r="G622" s="155"/>
      <c r="H622" s="153" t="s">
        <v>2020</v>
      </c>
      <c r="I622" s="153" t="s">
        <v>2021</v>
      </c>
      <c r="J622" s="156">
        <v>617.0</v>
      </c>
      <c r="K622" s="157" t="s">
        <v>2022</v>
      </c>
      <c r="L622" s="158" t="s">
        <v>2023</v>
      </c>
      <c r="M622" s="158"/>
      <c r="N622" s="158"/>
      <c r="O622" s="158"/>
      <c r="P622" s="158"/>
      <c r="Q622" s="158"/>
      <c r="R622" s="158"/>
      <c r="S622" s="158"/>
      <c r="T622" s="158"/>
    </row>
    <row r="623">
      <c r="A623" s="152"/>
      <c r="B623" s="153"/>
      <c r="C623" s="152"/>
      <c r="D623" s="152"/>
      <c r="E623" s="154">
        <v>3621.0</v>
      </c>
      <c r="F623" s="152"/>
      <c r="G623" s="155"/>
      <c r="H623" s="153" t="s">
        <v>2024</v>
      </c>
      <c r="I623" s="153" t="s">
        <v>167</v>
      </c>
      <c r="J623" s="156">
        <v>618.0</v>
      </c>
      <c r="K623" s="157" t="s">
        <v>2025</v>
      </c>
      <c r="L623" s="158" t="s">
        <v>2026</v>
      </c>
      <c r="M623" s="158"/>
      <c r="N623" s="158"/>
      <c r="O623" s="158"/>
      <c r="P623" s="158"/>
      <c r="Q623" s="158"/>
      <c r="R623" s="158"/>
      <c r="S623" s="158"/>
      <c r="T623" s="158"/>
    </row>
    <row r="624">
      <c r="A624" s="152"/>
      <c r="B624" s="153"/>
      <c r="C624" s="152"/>
      <c r="D624" s="152"/>
      <c r="E624" s="154">
        <v>3622.0</v>
      </c>
      <c r="F624" s="152"/>
      <c r="G624" s="155"/>
      <c r="H624" s="153" t="s">
        <v>2027</v>
      </c>
      <c r="I624" s="153" t="s">
        <v>631</v>
      </c>
      <c r="J624" s="156">
        <v>619.0</v>
      </c>
      <c r="K624" s="157" t="s">
        <v>2028</v>
      </c>
      <c r="L624" s="153" t="s">
        <v>2029</v>
      </c>
      <c r="M624" s="153"/>
      <c r="N624" s="153"/>
      <c r="O624" s="153"/>
      <c r="P624" s="153"/>
      <c r="Q624" s="153"/>
      <c r="R624" s="153"/>
      <c r="S624" s="153"/>
      <c r="T624" s="153"/>
    </row>
    <row r="625">
      <c r="A625" s="152"/>
      <c r="B625" s="153"/>
      <c r="C625" s="152"/>
      <c r="D625" s="152"/>
      <c r="E625" s="154">
        <v>3623.0</v>
      </c>
      <c r="F625" s="152"/>
      <c r="G625" s="155"/>
      <c r="H625" s="153" t="s">
        <v>2030</v>
      </c>
      <c r="I625" s="153" t="s">
        <v>661</v>
      </c>
      <c r="J625" s="156">
        <v>620.0</v>
      </c>
      <c r="K625" s="157" t="s">
        <v>2031</v>
      </c>
      <c r="L625" s="153" t="s">
        <v>2032</v>
      </c>
      <c r="M625" s="153"/>
      <c r="N625" s="153"/>
      <c r="O625" s="153"/>
      <c r="P625" s="153"/>
      <c r="Q625" s="153"/>
      <c r="R625" s="153"/>
      <c r="S625" s="153"/>
      <c r="T625" s="153"/>
    </row>
    <row r="626">
      <c r="A626" s="152"/>
      <c r="B626" s="153"/>
      <c r="C626" s="152"/>
      <c r="D626" s="152"/>
      <c r="E626" s="154">
        <v>3624.0</v>
      </c>
      <c r="F626" s="152"/>
      <c r="G626" s="155"/>
      <c r="H626" s="153" t="s">
        <v>2033</v>
      </c>
      <c r="I626" s="153" t="s">
        <v>1604</v>
      </c>
      <c r="J626" s="156">
        <v>621.0</v>
      </c>
      <c r="K626" s="157" t="s">
        <v>2034</v>
      </c>
      <c r="L626" s="153" t="s">
        <v>2035</v>
      </c>
      <c r="M626" s="153"/>
      <c r="N626" s="153"/>
      <c r="O626" s="153"/>
      <c r="P626" s="153"/>
      <c r="Q626" s="153"/>
      <c r="R626" s="153"/>
      <c r="S626" s="153"/>
      <c r="T626" s="153"/>
    </row>
    <row r="627">
      <c r="A627" s="152"/>
      <c r="B627" s="153"/>
      <c r="C627" s="152"/>
      <c r="D627" s="152"/>
      <c r="E627" s="154">
        <v>3625.0</v>
      </c>
      <c r="F627" s="152"/>
      <c r="G627" s="155"/>
      <c r="H627" s="153" t="s">
        <v>2036</v>
      </c>
      <c r="I627" s="153" t="s">
        <v>1604</v>
      </c>
      <c r="J627" s="156">
        <v>622.0</v>
      </c>
      <c r="K627" s="157" t="s">
        <v>2034</v>
      </c>
      <c r="L627" s="153" t="s">
        <v>2035</v>
      </c>
      <c r="M627" s="153"/>
      <c r="N627" s="153"/>
      <c r="O627" s="153"/>
      <c r="P627" s="153"/>
      <c r="Q627" s="153"/>
      <c r="R627" s="153"/>
      <c r="S627" s="153"/>
      <c r="T627" s="153"/>
    </row>
    <row r="628">
      <c r="A628" s="152"/>
      <c r="B628" s="153"/>
      <c r="C628" s="152"/>
      <c r="D628" s="152"/>
      <c r="E628" s="154">
        <v>3626.0</v>
      </c>
      <c r="F628" s="152"/>
      <c r="G628" s="155"/>
      <c r="H628" s="153" t="s">
        <v>2037</v>
      </c>
      <c r="I628" s="153" t="s">
        <v>1604</v>
      </c>
      <c r="J628" s="156">
        <v>623.0</v>
      </c>
      <c r="K628" s="157" t="s">
        <v>2038</v>
      </c>
      <c r="L628" s="153" t="s">
        <v>2035</v>
      </c>
      <c r="M628" s="153"/>
      <c r="N628" s="153"/>
      <c r="O628" s="153"/>
      <c r="P628" s="153"/>
      <c r="Q628" s="153"/>
      <c r="R628" s="153"/>
      <c r="S628" s="153"/>
      <c r="T628" s="153"/>
    </row>
    <row r="629">
      <c r="A629" s="152"/>
      <c r="B629" s="153"/>
      <c r="C629" s="152"/>
      <c r="D629" s="152"/>
      <c r="E629" s="154">
        <v>3631.0</v>
      </c>
      <c r="F629" s="152"/>
      <c r="G629" s="155"/>
      <c r="H629" s="153" t="s">
        <v>2039</v>
      </c>
      <c r="I629" s="153" t="s">
        <v>167</v>
      </c>
      <c r="J629" s="156">
        <v>624.0</v>
      </c>
      <c r="K629" s="157" t="s">
        <v>2040</v>
      </c>
      <c r="L629" s="153" t="s">
        <v>2041</v>
      </c>
      <c r="M629" s="153"/>
      <c r="N629" s="153"/>
      <c r="O629" s="153"/>
      <c r="P629" s="153"/>
      <c r="Q629" s="153"/>
      <c r="R629" s="153"/>
      <c r="S629" s="153"/>
      <c r="T629" s="153"/>
    </row>
    <row r="630">
      <c r="A630" s="152"/>
      <c r="B630" s="153"/>
      <c r="C630" s="152"/>
      <c r="D630" s="152"/>
      <c r="E630" s="154">
        <v>3632.0</v>
      </c>
      <c r="F630" s="152"/>
      <c r="G630" s="155"/>
      <c r="H630" s="153" t="s">
        <v>2042</v>
      </c>
      <c r="I630" s="153" t="s">
        <v>2021</v>
      </c>
      <c r="J630" s="156">
        <v>625.0</v>
      </c>
      <c r="K630" s="157" t="s">
        <v>2043</v>
      </c>
      <c r="L630" s="158" t="s">
        <v>2044</v>
      </c>
      <c r="M630" s="158"/>
      <c r="N630" s="158"/>
      <c r="O630" s="158"/>
      <c r="P630" s="158"/>
      <c r="Q630" s="158"/>
      <c r="R630" s="158"/>
      <c r="S630" s="158"/>
      <c r="T630" s="158"/>
    </row>
    <row r="631">
      <c r="A631" s="152"/>
      <c r="B631" s="153"/>
      <c r="C631" s="152"/>
      <c r="D631" s="152"/>
      <c r="E631" s="154">
        <v>3633.0</v>
      </c>
      <c r="F631" s="152"/>
      <c r="G631" s="155"/>
      <c r="H631" s="153" t="s">
        <v>2045</v>
      </c>
      <c r="I631" s="153" t="s">
        <v>167</v>
      </c>
      <c r="J631" s="156">
        <v>626.0</v>
      </c>
      <c r="K631" s="157" t="s">
        <v>2046</v>
      </c>
      <c r="L631" s="158" t="s">
        <v>2047</v>
      </c>
      <c r="M631" s="158"/>
      <c r="N631" s="158"/>
      <c r="O631" s="158"/>
      <c r="P631" s="158"/>
      <c r="Q631" s="158"/>
      <c r="R631" s="158"/>
      <c r="S631" s="158"/>
      <c r="T631" s="158"/>
    </row>
    <row r="632">
      <c r="A632" s="152"/>
      <c r="B632" s="153"/>
      <c r="C632" s="152"/>
      <c r="D632" s="152"/>
      <c r="E632" s="154">
        <v>3634.0</v>
      </c>
      <c r="F632" s="152"/>
      <c r="G632" s="155"/>
      <c r="H632" s="153" t="s">
        <v>2048</v>
      </c>
      <c r="I632" s="153" t="s">
        <v>167</v>
      </c>
      <c r="J632" s="156">
        <v>627.0</v>
      </c>
      <c r="K632" s="157" t="s">
        <v>2049</v>
      </c>
      <c r="L632" s="153" t="s">
        <v>2050</v>
      </c>
      <c r="M632" s="153"/>
      <c r="N632" s="153"/>
      <c r="O632" s="153"/>
      <c r="P632" s="153"/>
      <c r="Q632" s="153"/>
      <c r="R632" s="153"/>
      <c r="S632" s="153"/>
      <c r="T632" s="153"/>
    </row>
    <row r="633">
      <c r="A633" s="152"/>
      <c r="B633" s="153"/>
      <c r="C633" s="152"/>
      <c r="D633" s="152"/>
      <c r="E633" s="154">
        <v>3635.0</v>
      </c>
      <c r="F633" s="152"/>
      <c r="G633" s="155"/>
      <c r="H633" s="153" t="s">
        <v>2051</v>
      </c>
      <c r="I633" s="153" t="s">
        <v>167</v>
      </c>
      <c r="J633" s="156">
        <v>628.0</v>
      </c>
      <c r="K633" s="157" t="s">
        <v>2052</v>
      </c>
      <c r="L633" s="153" t="s">
        <v>2053</v>
      </c>
      <c r="M633" s="153"/>
      <c r="N633" s="153"/>
      <c r="O633" s="153"/>
      <c r="P633" s="153"/>
      <c r="Q633" s="153"/>
      <c r="R633" s="153"/>
      <c r="S633" s="153"/>
      <c r="T633" s="153"/>
    </row>
    <row r="634">
      <c r="A634" s="152"/>
      <c r="B634" s="153"/>
      <c r="C634" s="152"/>
      <c r="D634" s="152"/>
      <c r="E634" s="154">
        <v>3636.0</v>
      </c>
      <c r="F634" s="152"/>
      <c r="G634" s="155"/>
      <c r="H634" s="153" t="s">
        <v>2054</v>
      </c>
      <c r="I634" s="153" t="s">
        <v>2055</v>
      </c>
      <c r="J634" s="156">
        <v>629.0</v>
      </c>
      <c r="K634" s="157" t="s">
        <v>2056</v>
      </c>
      <c r="L634" s="158" t="s">
        <v>2057</v>
      </c>
      <c r="M634" s="158"/>
      <c r="N634" s="158"/>
      <c r="O634" s="158"/>
      <c r="P634" s="158"/>
      <c r="Q634" s="158"/>
      <c r="R634" s="158"/>
      <c r="S634" s="158"/>
      <c r="T634" s="158"/>
    </row>
    <row r="635">
      <c r="A635" s="152"/>
      <c r="B635" s="153"/>
      <c r="C635" s="152"/>
      <c r="D635" s="152"/>
      <c r="E635" s="154">
        <v>3641.0</v>
      </c>
      <c r="F635" s="152"/>
      <c r="G635" s="155"/>
      <c r="H635" s="153" t="s">
        <v>2058</v>
      </c>
      <c r="I635" s="153" t="s">
        <v>167</v>
      </c>
      <c r="J635" s="156">
        <v>630.0</v>
      </c>
      <c r="K635" s="157" t="s">
        <v>2059</v>
      </c>
      <c r="L635" s="158" t="s">
        <v>2060</v>
      </c>
      <c r="M635" s="158"/>
      <c r="N635" s="158"/>
      <c r="O635" s="158"/>
      <c r="P635" s="158"/>
      <c r="Q635" s="158"/>
      <c r="R635" s="158"/>
      <c r="S635" s="158"/>
      <c r="T635" s="158"/>
    </row>
    <row r="636">
      <c r="A636" s="152"/>
      <c r="B636" s="153"/>
      <c r="C636" s="152"/>
      <c r="D636" s="152"/>
      <c r="E636" s="154">
        <v>3642.0</v>
      </c>
      <c r="F636" s="152"/>
      <c r="G636" s="155"/>
      <c r="H636" s="153" t="s">
        <v>2061</v>
      </c>
      <c r="I636" s="153" t="s">
        <v>167</v>
      </c>
      <c r="J636" s="156">
        <v>631.0</v>
      </c>
      <c r="K636" s="157" t="s">
        <v>2062</v>
      </c>
      <c r="L636" s="158" t="s">
        <v>2047</v>
      </c>
      <c r="M636" s="158"/>
      <c r="N636" s="158"/>
      <c r="O636" s="158"/>
      <c r="P636" s="158"/>
      <c r="Q636" s="158"/>
      <c r="R636" s="158"/>
      <c r="S636" s="158"/>
      <c r="T636" s="158"/>
    </row>
    <row r="637">
      <c r="A637" s="152"/>
      <c r="B637" s="153"/>
      <c r="C637" s="152"/>
      <c r="D637" s="152"/>
      <c r="E637" s="154">
        <v>3643.0</v>
      </c>
      <c r="F637" s="152"/>
      <c r="G637" s="155"/>
      <c r="H637" s="153" t="s">
        <v>2063</v>
      </c>
      <c r="I637" s="153" t="s">
        <v>167</v>
      </c>
      <c r="J637" s="156">
        <v>632.0</v>
      </c>
      <c r="K637" s="157" t="s">
        <v>2064</v>
      </c>
      <c r="L637" s="158" t="s">
        <v>2065</v>
      </c>
      <c r="M637" s="158"/>
      <c r="N637" s="158"/>
      <c r="O637" s="158"/>
      <c r="P637" s="158"/>
      <c r="Q637" s="158"/>
      <c r="R637" s="158"/>
      <c r="S637" s="158"/>
      <c r="T637" s="158"/>
    </row>
    <row r="638">
      <c r="A638" s="152"/>
      <c r="B638" s="153"/>
      <c r="C638" s="152"/>
      <c r="D638" s="152"/>
      <c r="E638" s="154">
        <v>3644.0</v>
      </c>
      <c r="F638" s="152"/>
      <c r="G638" s="155"/>
      <c r="H638" s="153" t="s">
        <v>2066</v>
      </c>
      <c r="I638" s="153" t="s">
        <v>167</v>
      </c>
      <c r="J638" s="156">
        <v>633.0</v>
      </c>
      <c r="K638" s="157" t="s">
        <v>2067</v>
      </c>
      <c r="L638" s="158" t="s">
        <v>2068</v>
      </c>
      <c r="M638" s="158"/>
      <c r="N638" s="158"/>
      <c r="O638" s="158"/>
      <c r="P638" s="158"/>
      <c r="Q638" s="158"/>
      <c r="R638" s="158"/>
      <c r="S638" s="158"/>
      <c r="T638" s="158"/>
    </row>
    <row r="639">
      <c r="A639" s="152"/>
      <c r="B639" s="153"/>
      <c r="C639" s="152"/>
      <c r="D639" s="152"/>
      <c r="E639" s="154">
        <v>3645.0</v>
      </c>
      <c r="F639" s="152"/>
      <c r="G639" s="155"/>
      <c r="H639" s="153" t="s">
        <v>2069</v>
      </c>
      <c r="I639" s="153" t="s">
        <v>188</v>
      </c>
      <c r="J639" s="156">
        <v>634.0</v>
      </c>
      <c r="K639" s="157" t="s">
        <v>2070</v>
      </c>
      <c r="L639" s="153" t="s">
        <v>2071</v>
      </c>
      <c r="M639" s="153"/>
      <c r="N639" s="153"/>
      <c r="O639" s="153"/>
      <c r="P639" s="153"/>
      <c r="Q639" s="153"/>
      <c r="R639" s="153"/>
      <c r="S639" s="153"/>
      <c r="T639" s="153"/>
    </row>
    <row r="640">
      <c r="A640" s="152"/>
      <c r="B640" s="153"/>
      <c r="C640" s="152"/>
      <c r="D640" s="152"/>
      <c r="E640" s="154">
        <v>3646.0</v>
      </c>
      <c r="F640" s="152"/>
      <c r="G640" s="155"/>
      <c r="H640" s="153" t="s">
        <v>2072</v>
      </c>
      <c r="I640" s="153" t="s">
        <v>156</v>
      </c>
      <c r="J640" s="156">
        <v>635.0</v>
      </c>
      <c r="K640" s="157" t="s">
        <v>2073</v>
      </c>
      <c r="L640" s="153" t="s">
        <v>2074</v>
      </c>
      <c r="M640" s="153"/>
      <c r="N640" s="153"/>
      <c r="O640" s="153"/>
      <c r="P640" s="153"/>
      <c r="Q640" s="153"/>
      <c r="R640" s="153"/>
      <c r="S640" s="153"/>
      <c r="T640" s="153"/>
    </row>
    <row r="641">
      <c r="A641" s="152"/>
      <c r="B641" s="153"/>
      <c r="C641" s="152"/>
      <c r="D641" s="152"/>
      <c r="E641" s="154">
        <v>3651.0</v>
      </c>
      <c r="F641" s="152"/>
      <c r="G641" s="155"/>
      <c r="H641" s="153" t="s">
        <v>2075</v>
      </c>
      <c r="I641" s="153" t="s">
        <v>2076</v>
      </c>
      <c r="J641" s="156">
        <v>636.0</v>
      </c>
      <c r="K641" s="157" t="s">
        <v>2077</v>
      </c>
      <c r="L641" s="153" t="s">
        <v>2078</v>
      </c>
      <c r="M641" s="153"/>
      <c r="N641" s="153"/>
      <c r="O641" s="153"/>
      <c r="P641" s="153"/>
      <c r="Q641" s="153"/>
      <c r="R641" s="153"/>
      <c r="S641" s="153"/>
      <c r="T641" s="153"/>
    </row>
    <row r="642">
      <c r="A642" s="152"/>
      <c r="B642" s="153"/>
      <c r="C642" s="152"/>
      <c r="D642" s="152"/>
      <c r="E642" s="154">
        <v>3652.0</v>
      </c>
      <c r="F642" s="152"/>
      <c r="G642" s="155"/>
      <c r="H642" s="153" t="s">
        <v>2079</v>
      </c>
      <c r="I642" s="153" t="s">
        <v>434</v>
      </c>
      <c r="J642" s="156">
        <v>637.0</v>
      </c>
      <c r="K642" s="157" t="s">
        <v>2080</v>
      </c>
      <c r="L642" s="153" t="s">
        <v>2081</v>
      </c>
      <c r="M642" s="153"/>
      <c r="N642" s="153"/>
      <c r="O642" s="153"/>
      <c r="P642" s="153"/>
      <c r="Q642" s="153"/>
      <c r="R642" s="153"/>
      <c r="S642" s="153"/>
      <c r="T642" s="153"/>
    </row>
    <row r="643">
      <c r="A643" s="152"/>
      <c r="B643" s="153"/>
      <c r="C643" s="152"/>
      <c r="D643" s="152"/>
      <c r="E643" s="154">
        <v>3653.0</v>
      </c>
      <c r="F643" s="152"/>
      <c r="G643" s="155"/>
      <c r="H643" s="153" t="s">
        <v>2082</v>
      </c>
      <c r="I643" s="153" t="s">
        <v>434</v>
      </c>
      <c r="J643" s="156">
        <v>638.0</v>
      </c>
      <c r="K643" s="157" t="s">
        <v>2083</v>
      </c>
      <c r="L643" s="158" t="s">
        <v>1891</v>
      </c>
      <c r="M643" s="158"/>
      <c r="N643" s="158"/>
      <c r="O643" s="158"/>
      <c r="P643" s="158"/>
      <c r="Q643" s="158"/>
      <c r="R643" s="158"/>
      <c r="S643" s="158"/>
      <c r="T643" s="158"/>
    </row>
    <row r="644">
      <c r="A644" s="152"/>
      <c r="B644" s="153"/>
      <c r="C644" s="152"/>
      <c r="D644" s="152"/>
      <c r="E644" s="154">
        <v>3654.0</v>
      </c>
      <c r="F644" s="152"/>
      <c r="G644" s="155"/>
      <c r="H644" s="153" t="s">
        <v>2084</v>
      </c>
      <c r="I644" s="153" t="s">
        <v>156</v>
      </c>
      <c r="J644" s="156">
        <v>639.0</v>
      </c>
      <c r="K644" s="157" t="s">
        <v>2085</v>
      </c>
      <c r="L644" s="158" t="s">
        <v>2086</v>
      </c>
      <c r="M644" s="158"/>
      <c r="N644" s="158"/>
      <c r="O644" s="158"/>
      <c r="P644" s="158"/>
      <c r="Q644" s="158"/>
      <c r="R644" s="158"/>
      <c r="S644" s="158"/>
      <c r="T644" s="158"/>
    </row>
    <row r="645">
      <c r="A645" s="152"/>
      <c r="B645" s="153"/>
      <c r="C645" s="152"/>
      <c r="D645" s="152"/>
      <c r="E645" s="154">
        <v>3655.0</v>
      </c>
      <c r="F645" s="152"/>
      <c r="G645" s="155"/>
      <c r="H645" s="153" t="s">
        <v>2087</v>
      </c>
      <c r="I645" s="153" t="s">
        <v>156</v>
      </c>
      <c r="J645" s="156">
        <v>640.0</v>
      </c>
      <c r="K645" s="157" t="s">
        <v>2088</v>
      </c>
      <c r="L645" s="158" t="s">
        <v>2089</v>
      </c>
      <c r="M645" s="158"/>
      <c r="N645" s="158"/>
      <c r="O645" s="158"/>
      <c r="P645" s="158"/>
      <c r="Q645" s="158"/>
      <c r="R645" s="158"/>
      <c r="S645" s="158"/>
      <c r="T645" s="158"/>
    </row>
    <row r="646">
      <c r="A646" s="152"/>
      <c r="B646" s="153"/>
      <c r="C646" s="152"/>
      <c r="D646" s="152"/>
      <c r="E646" s="154">
        <v>3656.0</v>
      </c>
      <c r="F646" s="152"/>
      <c r="G646" s="155"/>
      <c r="H646" s="153" t="s">
        <v>2090</v>
      </c>
      <c r="I646" s="153" t="s">
        <v>230</v>
      </c>
      <c r="J646" s="156">
        <v>641.0</v>
      </c>
      <c r="K646" s="157" t="s">
        <v>2091</v>
      </c>
      <c r="L646" s="158" t="s">
        <v>2092</v>
      </c>
      <c r="M646" s="158"/>
      <c r="N646" s="158"/>
      <c r="O646" s="158"/>
      <c r="P646" s="158"/>
      <c r="Q646" s="158"/>
      <c r="R646" s="158"/>
      <c r="S646" s="158"/>
      <c r="T646" s="158"/>
    </row>
    <row r="647">
      <c r="A647" s="152"/>
      <c r="B647" s="153"/>
      <c r="C647" s="152"/>
      <c r="D647" s="152"/>
      <c r="E647" s="154">
        <v>3661.0</v>
      </c>
      <c r="F647" s="152"/>
      <c r="G647" s="155"/>
      <c r="H647" s="160" t="s">
        <v>2093</v>
      </c>
      <c r="I647" s="160" t="s">
        <v>167</v>
      </c>
      <c r="J647" s="166">
        <v>1226.0</v>
      </c>
      <c r="K647" s="157"/>
      <c r="L647" s="158"/>
      <c r="M647" s="158"/>
      <c r="N647" s="158"/>
      <c r="O647" s="158"/>
      <c r="P647" s="158"/>
      <c r="Q647" s="158"/>
      <c r="R647" s="158"/>
      <c r="S647" s="158"/>
      <c r="T647" s="158"/>
    </row>
    <row r="648">
      <c r="A648" s="152"/>
      <c r="B648" s="153"/>
      <c r="C648" s="152"/>
      <c r="D648" s="152"/>
      <c r="E648" s="154">
        <v>3662.0</v>
      </c>
      <c r="F648" s="152"/>
      <c r="G648" s="155"/>
      <c r="H648" s="153" t="s">
        <v>2094</v>
      </c>
      <c r="I648" s="153" t="s">
        <v>631</v>
      </c>
      <c r="J648" s="156">
        <v>642.0</v>
      </c>
      <c r="K648" s="157" t="s">
        <v>2095</v>
      </c>
      <c r="L648" s="158" t="s">
        <v>2096</v>
      </c>
      <c r="M648" s="158"/>
      <c r="N648" s="158"/>
      <c r="O648" s="158"/>
      <c r="P648" s="158"/>
      <c r="Q648" s="158"/>
      <c r="R648" s="158"/>
      <c r="S648" s="158"/>
      <c r="T648" s="158"/>
    </row>
    <row r="649">
      <c r="A649" s="152"/>
      <c r="B649" s="153"/>
      <c r="C649" s="152"/>
      <c r="D649" s="152"/>
      <c r="E649" s="154">
        <v>3663.0</v>
      </c>
      <c r="F649" s="152"/>
      <c r="G649" s="155"/>
      <c r="H649" s="153" t="s">
        <v>2097</v>
      </c>
      <c r="I649" s="153" t="s">
        <v>631</v>
      </c>
      <c r="J649" s="156">
        <v>643.0</v>
      </c>
      <c r="K649" s="157" t="s">
        <v>2098</v>
      </c>
      <c r="L649" s="158" t="s">
        <v>2099</v>
      </c>
      <c r="M649" s="158"/>
      <c r="N649" s="158"/>
      <c r="O649" s="158"/>
      <c r="P649" s="158"/>
      <c r="Q649" s="158"/>
      <c r="R649" s="158"/>
      <c r="S649" s="158"/>
      <c r="T649" s="158"/>
    </row>
    <row r="650">
      <c r="A650" s="152"/>
      <c r="B650" s="153"/>
      <c r="C650" s="152"/>
      <c r="D650" s="152"/>
      <c r="E650" s="154">
        <v>3664.0</v>
      </c>
      <c r="F650" s="152"/>
      <c r="G650" s="155"/>
      <c r="H650" s="153" t="s">
        <v>2100</v>
      </c>
      <c r="I650" s="153" t="s">
        <v>1452</v>
      </c>
      <c r="J650" s="156">
        <v>644.0</v>
      </c>
      <c r="K650" s="157" t="s">
        <v>2101</v>
      </c>
      <c r="L650" s="153" t="s">
        <v>2102</v>
      </c>
      <c r="M650" s="153"/>
      <c r="N650" s="153"/>
      <c r="O650" s="153"/>
      <c r="P650" s="153"/>
      <c r="Q650" s="153"/>
      <c r="R650" s="153"/>
      <c r="S650" s="153"/>
      <c r="T650" s="153"/>
    </row>
    <row r="651">
      <c r="A651" s="152"/>
      <c r="B651" s="153"/>
      <c r="C651" s="152"/>
      <c r="D651" s="152"/>
      <c r="E651" s="154">
        <v>3665.0</v>
      </c>
      <c r="F651" s="152"/>
      <c r="G651" s="155"/>
      <c r="H651" s="153" t="s">
        <v>2103</v>
      </c>
      <c r="I651" s="153" t="s">
        <v>246</v>
      </c>
      <c r="J651" s="156">
        <v>645.0</v>
      </c>
      <c r="K651" s="157" t="s">
        <v>2104</v>
      </c>
      <c r="L651" s="153" t="s">
        <v>2007</v>
      </c>
      <c r="M651" s="153"/>
      <c r="N651" s="153"/>
      <c r="O651" s="153"/>
      <c r="P651" s="153"/>
      <c r="Q651" s="153"/>
      <c r="R651" s="153"/>
      <c r="S651" s="153"/>
      <c r="T651" s="153"/>
    </row>
    <row r="652">
      <c r="A652" s="152"/>
      <c r="B652" s="153"/>
      <c r="C652" s="152"/>
      <c r="D652" s="152"/>
      <c r="E652" s="154">
        <v>3666.0</v>
      </c>
      <c r="F652" s="152"/>
      <c r="G652" s="155"/>
      <c r="H652" s="153" t="s">
        <v>2105</v>
      </c>
      <c r="I652" s="153" t="s">
        <v>167</v>
      </c>
      <c r="J652" s="156">
        <v>646.0</v>
      </c>
      <c r="K652" s="157" t="s">
        <v>2106</v>
      </c>
      <c r="L652" s="158" t="s">
        <v>2107</v>
      </c>
      <c r="M652" s="158"/>
      <c r="N652" s="158"/>
      <c r="O652" s="158"/>
      <c r="P652" s="158"/>
      <c r="Q652" s="158"/>
      <c r="R652" s="158"/>
      <c r="S652" s="158"/>
      <c r="T652" s="158"/>
    </row>
    <row r="653">
      <c r="A653" s="152"/>
      <c r="B653" s="153"/>
      <c r="C653" s="152"/>
      <c r="D653" s="152"/>
      <c r="E653" s="154">
        <v>4111.0</v>
      </c>
      <c r="F653" s="152"/>
      <c r="G653" s="155"/>
      <c r="H653" s="153" t="s">
        <v>2108</v>
      </c>
      <c r="I653" s="153" t="s">
        <v>631</v>
      </c>
      <c r="J653" s="156">
        <v>647.0</v>
      </c>
      <c r="K653" s="157" t="s">
        <v>2109</v>
      </c>
      <c r="L653" s="158" t="s">
        <v>2110</v>
      </c>
      <c r="M653" s="158"/>
      <c r="N653" s="158"/>
      <c r="O653" s="158"/>
      <c r="P653" s="158"/>
      <c r="Q653" s="158"/>
      <c r="R653" s="158"/>
      <c r="S653" s="158"/>
      <c r="T653" s="158"/>
    </row>
    <row r="654">
      <c r="A654" s="152"/>
      <c r="B654" s="153"/>
      <c r="C654" s="152"/>
      <c r="D654" s="152"/>
      <c r="E654" s="154">
        <v>4112.0</v>
      </c>
      <c r="F654" s="152"/>
      <c r="G654" s="155"/>
      <c r="H654" s="153" t="s">
        <v>2111</v>
      </c>
      <c r="I654" s="153" t="s">
        <v>1256</v>
      </c>
      <c r="J654" s="156">
        <v>648.0</v>
      </c>
      <c r="K654" s="157" t="s">
        <v>2112</v>
      </c>
      <c r="L654" s="158" t="s">
        <v>2113</v>
      </c>
      <c r="M654" s="158"/>
      <c r="N654" s="158"/>
      <c r="O654" s="158"/>
      <c r="P654" s="158"/>
      <c r="Q654" s="158"/>
      <c r="R654" s="158"/>
      <c r="S654" s="158"/>
      <c r="T654" s="158"/>
    </row>
    <row r="655">
      <c r="A655" s="152"/>
      <c r="B655" s="153"/>
      <c r="C655" s="152"/>
      <c r="D655" s="152"/>
      <c r="E655" s="154">
        <v>4113.0</v>
      </c>
      <c r="F655" s="152"/>
      <c r="G655" s="155"/>
      <c r="H655" s="153" t="s">
        <v>2114</v>
      </c>
      <c r="I655" s="153" t="s">
        <v>631</v>
      </c>
      <c r="J655" s="156">
        <v>649.0</v>
      </c>
      <c r="K655" s="157" t="s">
        <v>2115</v>
      </c>
      <c r="L655" s="158" t="s">
        <v>2116</v>
      </c>
      <c r="M655" s="158"/>
      <c r="N655" s="158"/>
      <c r="O655" s="158"/>
      <c r="P655" s="158"/>
      <c r="Q655" s="158"/>
      <c r="R655" s="158"/>
      <c r="S655" s="158"/>
      <c r="T655" s="158"/>
    </row>
    <row r="656">
      <c r="A656" s="152"/>
      <c r="B656" s="153"/>
      <c r="C656" s="152"/>
      <c r="D656" s="152"/>
      <c r="E656" s="154">
        <v>4114.0</v>
      </c>
      <c r="F656" s="152"/>
      <c r="G656" s="155"/>
      <c r="H656" s="153" t="s">
        <v>2117</v>
      </c>
      <c r="I656" s="153" t="s">
        <v>167</v>
      </c>
      <c r="J656" s="156">
        <v>650.0</v>
      </c>
      <c r="K656" s="157" t="s">
        <v>2118</v>
      </c>
      <c r="L656" s="153" t="s">
        <v>2119</v>
      </c>
      <c r="M656" s="153"/>
      <c r="N656" s="153"/>
      <c r="O656" s="153"/>
      <c r="P656" s="153"/>
      <c r="Q656" s="153"/>
      <c r="R656" s="153"/>
      <c r="S656" s="153"/>
      <c r="T656" s="153"/>
    </row>
    <row r="657">
      <c r="A657" s="152"/>
      <c r="B657" s="153"/>
      <c r="C657" s="152"/>
      <c r="D657" s="152"/>
      <c r="E657" s="154">
        <v>4115.0</v>
      </c>
      <c r="F657" s="152"/>
      <c r="G657" s="155"/>
      <c r="H657" s="153" t="s">
        <v>2120</v>
      </c>
      <c r="I657" s="153" t="s">
        <v>156</v>
      </c>
      <c r="J657" s="156">
        <v>651.0</v>
      </c>
      <c r="K657" s="157" t="s">
        <v>2121</v>
      </c>
      <c r="L657" s="153" t="s">
        <v>2122</v>
      </c>
      <c r="M657" s="153"/>
      <c r="N657" s="153"/>
      <c r="O657" s="153"/>
      <c r="P657" s="153"/>
      <c r="Q657" s="153"/>
      <c r="R657" s="153"/>
      <c r="S657" s="153"/>
      <c r="T657" s="153"/>
    </row>
    <row r="658">
      <c r="A658" s="152"/>
      <c r="B658" s="153"/>
      <c r="C658" s="152"/>
      <c r="D658" s="152"/>
      <c r="E658" s="154">
        <v>4116.0</v>
      </c>
      <c r="F658" s="152"/>
      <c r="G658" s="155"/>
      <c r="H658" s="153" t="s">
        <v>2123</v>
      </c>
      <c r="I658" s="153" t="s">
        <v>156</v>
      </c>
      <c r="J658" s="156">
        <v>652.0</v>
      </c>
      <c r="K658" s="157" t="s">
        <v>2124</v>
      </c>
      <c r="L658" s="158" t="s">
        <v>2125</v>
      </c>
      <c r="M658" s="158"/>
      <c r="N658" s="158"/>
      <c r="O658" s="158"/>
      <c r="P658" s="158"/>
      <c r="Q658" s="158"/>
      <c r="R658" s="158"/>
      <c r="S658" s="158"/>
      <c r="T658" s="158"/>
    </row>
    <row r="659">
      <c r="A659" s="152"/>
      <c r="B659" s="153"/>
      <c r="C659" s="152"/>
      <c r="D659" s="152"/>
      <c r="E659" s="154">
        <v>4121.0</v>
      </c>
      <c r="F659" s="152"/>
      <c r="G659" s="155"/>
      <c r="H659" s="153" t="s">
        <v>2126</v>
      </c>
      <c r="I659" s="153" t="s">
        <v>156</v>
      </c>
      <c r="J659" s="156">
        <v>653.0</v>
      </c>
      <c r="K659" s="157" t="s">
        <v>2127</v>
      </c>
      <c r="L659" s="158" t="s">
        <v>2128</v>
      </c>
      <c r="M659" s="158"/>
      <c r="N659" s="158"/>
      <c r="O659" s="158"/>
      <c r="P659" s="158"/>
      <c r="Q659" s="158"/>
      <c r="R659" s="158"/>
      <c r="S659" s="158"/>
      <c r="T659" s="158"/>
    </row>
    <row r="660">
      <c r="A660" s="152"/>
      <c r="B660" s="153"/>
      <c r="C660" s="152"/>
      <c r="D660" s="152"/>
      <c r="E660" s="154">
        <v>4122.0</v>
      </c>
      <c r="F660" s="152"/>
      <c r="G660" s="155"/>
      <c r="H660" s="153" t="s">
        <v>2129</v>
      </c>
      <c r="I660" s="153" t="s">
        <v>2130</v>
      </c>
      <c r="J660" s="156">
        <v>654.0</v>
      </c>
      <c r="K660" s="157" t="s">
        <v>2127</v>
      </c>
      <c r="L660" s="153" t="s">
        <v>2131</v>
      </c>
      <c r="M660" s="153"/>
      <c r="N660" s="153"/>
      <c r="O660" s="153"/>
      <c r="P660" s="153"/>
      <c r="Q660" s="153"/>
      <c r="R660" s="153"/>
      <c r="S660" s="153"/>
      <c r="T660" s="153"/>
    </row>
    <row r="661">
      <c r="A661" s="152"/>
      <c r="B661" s="153"/>
      <c r="C661" s="152"/>
      <c r="D661" s="152"/>
      <c r="E661" s="154">
        <v>4123.0</v>
      </c>
      <c r="F661" s="152"/>
      <c r="G661" s="155"/>
      <c r="H661" s="153" t="s">
        <v>2132</v>
      </c>
      <c r="I661" s="153" t="s">
        <v>2130</v>
      </c>
      <c r="J661" s="156">
        <v>655.0</v>
      </c>
      <c r="K661" s="157" t="s">
        <v>2133</v>
      </c>
      <c r="L661" s="153" t="s">
        <v>2134</v>
      </c>
      <c r="M661" s="153"/>
      <c r="N661" s="153"/>
      <c r="O661" s="153"/>
      <c r="P661" s="153"/>
      <c r="Q661" s="153"/>
      <c r="R661" s="153"/>
      <c r="S661" s="153"/>
      <c r="T661" s="153"/>
    </row>
    <row r="662">
      <c r="A662" s="152"/>
      <c r="B662" s="153"/>
      <c r="C662" s="152"/>
      <c r="D662" s="152"/>
      <c r="E662" s="154">
        <v>4124.0</v>
      </c>
      <c r="F662" s="152"/>
      <c r="G662" s="155"/>
      <c r="H662" s="153" t="s">
        <v>2135</v>
      </c>
      <c r="I662" s="153" t="s">
        <v>2130</v>
      </c>
      <c r="J662" s="156">
        <v>656.0</v>
      </c>
      <c r="K662" s="157" t="s">
        <v>2136</v>
      </c>
      <c r="L662" s="153" t="s">
        <v>2137</v>
      </c>
      <c r="M662" s="153"/>
      <c r="N662" s="153"/>
      <c r="O662" s="153"/>
      <c r="P662" s="153"/>
      <c r="Q662" s="153"/>
      <c r="R662" s="153"/>
      <c r="S662" s="153"/>
      <c r="T662" s="153"/>
    </row>
    <row r="663">
      <c r="A663" s="152"/>
      <c r="B663" s="153"/>
      <c r="C663" s="152"/>
      <c r="D663" s="152"/>
      <c r="E663" s="154">
        <v>4125.0</v>
      </c>
      <c r="F663" s="152"/>
      <c r="G663" s="155"/>
      <c r="H663" s="153" t="s">
        <v>2138</v>
      </c>
      <c r="I663" s="153" t="s">
        <v>156</v>
      </c>
      <c r="J663" s="156">
        <v>657.0</v>
      </c>
      <c r="K663" s="157" t="s">
        <v>2139</v>
      </c>
      <c r="L663" s="158" t="s">
        <v>2140</v>
      </c>
      <c r="M663" s="158"/>
      <c r="N663" s="158"/>
      <c r="O663" s="158"/>
      <c r="P663" s="158"/>
      <c r="Q663" s="158"/>
      <c r="R663" s="158"/>
      <c r="S663" s="158"/>
      <c r="T663" s="158"/>
    </row>
    <row r="664">
      <c r="A664" s="152"/>
      <c r="B664" s="153"/>
      <c r="C664" s="152"/>
      <c r="D664" s="152"/>
      <c r="E664" s="154">
        <v>4126.0</v>
      </c>
      <c r="F664" s="152"/>
      <c r="G664" s="155"/>
      <c r="H664" s="153" t="s">
        <v>2141</v>
      </c>
      <c r="I664" s="153" t="s">
        <v>156</v>
      </c>
      <c r="J664" s="156">
        <v>658.0</v>
      </c>
      <c r="K664" s="157" t="s">
        <v>2142</v>
      </c>
      <c r="L664" s="158" t="s">
        <v>2143</v>
      </c>
      <c r="M664" s="158"/>
      <c r="N664" s="158"/>
      <c r="O664" s="158"/>
      <c r="P664" s="158"/>
      <c r="Q664" s="158"/>
      <c r="R664" s="158"/>
      <c r="S664" s="158"/>
      <c r="T664" s="158"/>
    </row>
    <row r="665">
      <c r="A665" s="152"/>
      <c r="B665" s="153"/>
      <c r="C665" s="152"/>
      <c r="D665" s="152"/>
      <c r="E665" s="154">
        <v>4131.0</v>
      </c>
      <c r="F665" s="152"/>
      <c r="G665" s="155"/>
      <c r="H665" s="153" t="s">
        <v>2144</v>
      </c>
      <c r="I665" s="153" t="s">
        <v>156</v>
      </c>
      <c r="J665" s="156">
        <v>659.0</v>
      </c>
      <c r="K665" s="157" t="s">
        <v>2145</v>
      </c>
      <c r="L665" s="158" t="s">
        <v>2146</v>
      </c>
      <c r="M665" s="158"/>
      <c r="N665" s="158"/>
      <c r="O665" s="158"/>
      <c r="P665" s="158"/>
      <c r="Q665" s="158"/>
      <c r="R665" s="158"/>
      <c r="S665" s="158"/>
      <c r="T665" s="158"/>
    </row>
    <row r="666">
      <c r="A666" s="152"/>
      <c r="B666" s="153"/>
      <c r="C666" s="152"/>
      <c r="D666" s="152"/>
      <c r="E666" s="154">
        <v>4132.0</v>
      </c>
      <c r="F666" s="152"/>
      <c r="G666" s="155"/>
      <c r="H666" s="153" t="s">
        <v>2147</v>
      </c>
      <c r="I666" s="153" t="s">
        <v>156</v>
      </c>
      <c r="J666" s="156">
        <v>660.0</v>
      </c>
      <c r="K666" s="157" t="s">
        <v>2148</v>
      </c>
      <c r="L666" s="153" t="s">
        <v>2149</v>
      </c>
      <c r="M666" s="153"/>
      <c r="N666" s="153"/>
      <c r="O666" s="153"/>
      <c r="P666" s="153"/>
      <c r="Q666" s="153"/>
      <c r="R666" s="153"/>
      <c r="S666" s="153"/>
      <c r="T666" s="153"/>
    </row>
    <row r="667">
      <c r="A667" s="152"/>
      <c r="B667" s="153"/>
      <c r="C667" s="152"/>
      <c r="D667" s="152"/>
      <c r="E667" s="154">
        <v>4133.0</v>
      </c>
      <c r="F667" s="152"/>
      <c r="G667" s="155"/>
      <c r="H667" s="153" t="s">
        <v>2150</v>
      </c>
      <c r="I667" s="153" t="s">
        <v>156</v>
      </c>
      <c r="J667" s="156">
        <v>661.0</v>
      </c>
      <c r="K667" s="157" t="s">
        <v>2151</v>
      </c>
      <c r="L667" s="158" t="s">
        <v>2152</v>
      </c>
      <c r="M667" s="158"/>
      <c r="N667" s="158"/>
      <c r="O667" s="158"/>
      <c r="P667" s="158"/>
      <c r="Q667" s="158"/>
      <c r="R667" s="158"/>
      <c r="S667" s="158"/>
      <c r="T667" s="158"/>
    </row>
    <row r="668">
      <c r="A668" s="152"/>
      <c r="B668" s="153"/>
      <c r="C668" s="152"/>
      <c r="D668" s="152"/>
      <c r="E668" s="154">
        <v>4134.0</v>
      </c>
      <c r="F668" s="152"/>
      <c r="G668" s="155"/>
      <c r="H668" s="153" t="s">
        <v>2153</v>
      </c>
      <c r="I668" s="153" t="s">
        <v>156</v>
      </c>
      <c r="J668" s="156">
        <v>662.0</v>
      </c>
      <c r="K668" s="157" t="s">
        <v>2154</v>
      </c>
      <c r="L668" s="153" t="s">
        <v>2149</v>
      </c>
      <c r="M668" s="153"/>
      <c r="N668" s="153"/>
      <c r="O668" s="153"/>
      <c r="P668" s="153"/>
      <c r="Q668" s="153"/>
      <c r="R668" s="153"/>
      <c r="S668" s="153"/>
      <c r="T668" s="153"/>
    </row>
    <row r="669">
      <c r="A669" s="152"/>
      <c r="B669" s="153"/>
      <c r="C669" s="152"/>
      <c r="D669" s="152"/>
      <c r="E669" s="154">
        <v>4135.0</v>
      </c>
      <c r="F669" s="152"/>
      <c r="G669" s="155"/>
      <c r="H669" s="153" t="s">
        <v>2155</v>
      </c>
      <c r="I669" s="153" t="s">
        <v>156</v>
      </c>
      <c r="J669" s="156">
        <v>663.0</v>
      </c>
      <c r="K669" s="157" t="s">
        <v>2156</v>
      </c>
      <c r="L669" s="153" t="s">
        <v>2157</v>
      </c>
      <c r="M669" s="153"/>
      <c r="N669" s="153"/>
      <c r="O669" s="153"/>
      <c r="P669" s="153"/>
      <c r="Q669" s="153"/>
      <c r="R669" s="153"/>
      <c r="S669" s="153"/>
      <c r="T669" s="153"/>
    </row>
    <row r="670">
      <c r="A670" s="152"/>
      <c r="B670" s="153"/>
      <c r="C670" s="152"/>
      <c r="D670" s="152"/>
      <c r="E670" s="154">
        <v>4136.0</v>
      </c>
      <c r="F670" s="152"/>
      <c r="G670" s="155"/>
      <c r="H670" s="153" t="s">
        <v>2158</v>
      </c>
      <c r="I670" s="153" t="s">
        <v>156</v>
      </c>
      <c r="J670" s="156">
        <v>664.0</v>
      </c>
      <c r="K670" s="157" t="s">
        <v>2159</v>
      </c>
      <c r="L670" s="158" t="s">
        <v>2160</v>
      </c>
      <c r="M670" s="158"/>
      <c r="N670" s="158"/>
      <c r="O670" s="158"/>
      <c r="P670" s="158"/>
      <c r="Q670" s="158"/>
      <c r="R670" s="158"/>
      <c r="S670" s="158"/>
      <c r="T670" s="158"/>
    </row>
    <row r="671">
      <c r="A671" s="152"/>
      <c r="B671" s="153"/>
      <c r="C671" s="152"/>
      <c r="D671" s="152"/>
      <c r="E671" s="154">
        <v>4141.0</v>
      </c>
      <c r="F671" s="152"/>
      <c r="G671" s="155"/>
      <c r="H671" s="153" t="s">
        <v>2161</v>
      </c>
      <c r="I671" s="153" t="s">
        <v>156</v>
      </c>
      <c r="J671" s="156">
        <v>665.0</v>
      </c>
      <c r="K671" s="157" t="s">
        <v>2162</v>
      </c>
      <c r="L671" s="153" t="s">
        <v>2163</v>
      </c>
      <c r="M671" s="153"/>
      <c r="N671" s="153"/>
      <c r="O671" s="153"/>
      <c r="P671" s="153"/>
      <c r="Q671" s="153"/>
      <c r="R671" s="153"/>
      <c r="S671" s="153"/>
      <c r="T671" s="153"/>
    </row>
    <row r="672">
      <c r="A672" s="152"/>
      <c r="B672" s="153"/>
      <c r="C672" s="152"/>
      <c r="D672" s="152"/>
      <c r="E672" s="154">
        <v>4142.0</v>
      </c>
      <c r="F672" s="152"/>
      <c r="G672" s="155"/>
      <c r="H672" s="153" t="s">
        <v>2164</v>
      </c>
      <c r="I672" s="153" t="s">
        <v>156</v>
      </c>
      <c r="J672" s="156">
        <v>666.0</v>
      </c>
      <c r="K672" s="157" t="s">
        <v>2165</v>
      </c>
      <c r="L672" s="153" t="s">
        <v>2166</v>
      </c>
      <c r="M672" s="153"/>
      <c r="N672" s="153"/>
      <c r="O672" s="153"/>
      <c r="P672" s="153"/>
      <c r="Q672" s="153"/>
      <c r="R672" s="153"/>
      <c r="S672" s="153"/>
      <c r="T672" s="153"/>
    </row>
    <row r="673">
      <c r="A673" s="152"/>
      <c r="B673" s="153"/>
      <c r="C673" s="152"/>
      <c r="D673" s="152"/>
      <c r="E673" s="154">
        <v>4143.0</v>
      </c>
      <c r="F673" s="152"/>
      <c r="G673" s="155"/>
      <c r="H673" s="153" t="s">
        <v>2167</v>
      </c>
      <c r="I673" s="153" t="s">
        <v>2168</v>
      </c>
      <c r="J673" s="156">
        <v>667.0</v>
      </c>
      <c r="K673" s="157" t="s">
        <v>2169</v>
      </c>
      <c r="L673" s="158" t="s">
        <v>2170</v>
      </c>
      <c r="M673" s="158"/>
      <c r="N673" s="158"/>
      <c r="O673" s="158"/>
      <c r="P673" s="158"/>
      <c r="Q673" s="158"/>
      <c r="R673" s="158"/>
      <c r="S673" s="158"/>
      <c r="T673" s="158"/>
    </row>
    <row r="674">
      <c r="A674" s="152"/>
      <c r="B674" s="153"/>
      <c r="C674" s="152"/>
      <c r="D674" s="152"/>
      <c r="E674" s="154">
        <v>4144.0</v>
      </c>
      <c r="F674" s="152"/>
      <c r="G674" s="155"/>
      <c r="H674" s="153" t="s">
        <v>2171</v>
      </c>
      <c r="I674" s="153" t="s">
        <v>2168</v>
      </c>
      <c r="J674" s="156">
        <v>668.0</v>
      </c>
      <c r="K674" s="157" t="s">
        <v>2172</v>
      </c>
      <c r="L674" s="153" t="s">
        <v>2173</v>
      </c>
      <c r="M674" s="153"/>
      <c r="N674" s="153"/>
      <c r="O674" s="153"/>
      <c r="P674" s="153"/>
      <c r="Q674" s="153"/>
      <c r="R674" s="153"/>
      <c r="S674" s="153"/>
      <c r="T674" s="153"/>
    </row>
    <row r="675">
      <c r="A675" s="152"/>
      <c r="B675" s="153"/>
      <c r="C675" s="152"/>
      <c r="D675" s="152"/>
      <c r="E675" s="154">
        <v>4145.0</v>
      </c>
      <c r="F675" s="152"/>
      <c r="G675" s="155"/>
      <c r="H675" s="153" t="s">
        <v>2174</v>
      </c>
      <c r="I675" s="153" t="s">
        <v>2168</v>
      </c>
      <c r="J675" s="156">
        <v>669.0</v>
      </c>
      <c r="K675" s="157" t="s">
        <v>2175</v>
      </c>
      <c r="L675" s="153" t="s">
        <v>2176</v>
      </c>
      <c r="M675" s="153"/>
      <c r="N675" s="153"/>
      <c r="O675" s="153"/>
      <c r="P675" s="153"/>
      <c r="Q675" s="153"/>
      <c r="R675" s="153"/>
      <c r="S675" s="153"/>
      <c r="T675" s="153"/>
    </row>
    <row r="676">
      <c r="A676" s="152"/>
      <c r="B676" s="153"/>
      <c r="C676" s="152"/>
      <c r="D676" s="152"/>
      <c r="E676" s="154">
        <v>4146.0</v>
      </c>
      <c r="F676" s="152"/>
      <c r="G676" s="155"/>
      <c r="H676" s="153" t="s">
        <v>2177</v>
      </c>
      <c r="I676" s="153" t="s">
        <v>2178</v>
      </c>
      <c r="J676" s="156">
        <v>670.0</v>
      </c>
      <c r="K676" s="157" t="s">
        <v>2179</v>
      </c>
      <c r="L676" s="158" t="s">
        <v>2180</v>
      </c>
      <c r="M676" s="158"/>
      <c r="N676" s="158"/>
      <c r="O676" s="158"/>
      <c r="P676" s="158"/>
      <c r="Q676" s="158"/>
      <c r="R676" s="158"/>
      <c r="S676" s="158"/>
      <c r="T676" s="158"/>
    </row>
    <row r="677">
      <c r="A677" s="152"/>
      <c r="B677" s="153"/>
      <c r="C677" s="152"/>
      <c r="D677" s="152"/>
      <c r="E677" s="154">
        <v>4151.0</v>
      </c>
      <c r="F677" s="152"/>
      <c r="G677" s="155"/>
      <c r="H677" s="153" t="s">
        <v>2181</v>
      </c>
      <c r="I677" s="153" t="s">
        <v>156</v>
      </c>
      <c r="J677" s="156">
        <v>671.0</v>
      </c>
      <c r="K677" s="157" t="s">
        <v>2182</v>
      </c>
      <c r="L677" s="158" t="s">
        <v>2183</v>
      </c>
      <c r="M677" s="158"/>
      <c r="N677" s="158"/>
      <c r="O677" s="158"/>
      <c r="P677" s="158"/>
      <c r="Q677" s="158"/>
      <c r="R677" s="158"/>
      <c r="S677" s="158"/>
      <c r="T677" s="158"/>
    </row>
    <row r="678">
      <c r="A678" s="152"/>
      <c r="B678" s="153"/>
      <c r="C678" s="152"/>
      <c r="D678" s="152"/>
      <c r="E678" s="154">
        <v>4152.0</v>
      </c>
      <c r="F678" s="152"/>
      <c r="G678" s="155"/>
      <c r="H678" s="153" t="s">
        <v>2184</v>
      </c>
      <c r="I678" s="153" t="s">
        <v>2130</v>
      </c>
      <c r="J678" s="156">
        <v>672.0</v>
      </c>
      <c r="K678" s="157" t="s">
        <v>2185</v>
      </c>
      <c r="L678" s="153" t="s">
        <v>2186</v>
      </c>
      <c r="M678" s="153"/>
      <c r="N678" s="153"/>
      <c r="O678" s="153"/>
      <c r="P678" s="153"/>
      <c r="Q678" s="153"/>
      <c r="R678" s="153"/>
      <c r="S678" s="153"/>
      <c r="T678" s="153"/>
    </row>
    <row r="679">
      <c r="A679" s="152"/>
      <c r="B679" s="153"/>
      <c r="C679" s="152"/>
      <c r="D679" s="152"/>
      <c r="E679" s="154">
        <v>4153.0</v>
      </c>
      <c r="F679" s="152"/>
      <c r="G679" s="155"/>
      <c r="H679" s="153" t="s">
        <v>2187</v>
      </c>
      <c r="I679" s="153" t="s">
        <v>2130</v>
      </c>
      <c r="J679" s="156">
        <v>673.0</v>
      </c>
      <c r="K679" s="157" t="s">
        <v>2188</v>
      </c>
      <c r="L679" s="153" t="s">
        <v>2189</v>
      </c>
      <c r="M679" s="153"/>
      <c r="N679" s="153"/>
      <c r="O679" s="153"/>
      <c r="P679" s="153"/>
      <c r="Q679" s="153"/>
      <c r="R679" s="153"/>
      <c r="S679" s="153"/>
      <c r="T679" s="153"/>
    </row>
    <row r="680">
      <c r="A680" s="152"/>
      <c r="B680" s="153"/>
      <c r="C680" s="152"/>
      <c r="D680" s="152"/>
      <c r="E680" s="154">
        <v>4154.0</v>
      </c>
      <c r="F680" s="152"/>
      <c r="G680" s="155"/>
      <c r="H680" s="153" t="s">
        <v>2190</v>
      </c>
      <c r="I680" s="153" t="s">
        <v>2191</v>
      </c>
      <c r="J680" s="156">
        <v>674.0</v>
      </c>
      <c r="K680" s="157" t="s">
        <v>2192</v>
      </c>
      <c r="L680" s="158" t="s">
        <v>2193</v>
      </c>
      <c r="M680" s="158"/>
      <c r="N680" s="158"/>
      <c r="O680" s="158"/>
      <c r="P680" s="158"/>
      <c r="Q680" s="158"/>
      <c r="R680" s="158"/>
      <c r="S680" s="158"/>
      <c r="T680" s="158"/>
    </row>
    <row r="681">
      <c r="A681" s="152"/>
      <c r="B681" s="153"/>
      <c r="C681" s="152"/>
      <c r="D681" s="152"/>
      <c r="E681" s="154">
        <v>4155.0</v>
      </c>
      <c r="F681" s="152"/>
      <c r="G681" s="155"/>
      <c r="H681" s="153" t="s">
        <v>2194</v>
      </c>
      <c r="I681" s="153" t="s">
        <v>156</v>
      </c>
      <c r="J681" s="156">
        <v>675.0</v>
      </c>
      <c r="K681" s="157" t="s">
        <v>2195</v>
      </c>
      <c r="L681" s="158" t="s">
        <v>2196</v>
      </c>
      <c r="M681" s="158"/>
      <c r="N681" s="158"/>
      <c r="O681" s="158"/>
      <c r="P681" s="158"/>
      <c r="Q681" s="158"/>
      <c r="R681" s="158"/>
      <c r="S681" s="158"/>
      <c r="T681" s="158"/>
    </row>
    <row r="682">
      <c r="A682" s="152"/>
      <c r="B682" s="153"/>
      <c r="C682" s="152"/>
      <c r="D682" s="152"/>
      <c r="E682" s="154">
        <v>4156.0</v>
      </c>
      <c r="F682" s="152"/>
      <c r="G682" s="155"/>
      <c r="H682" s="153" t="s">
        <v>2197</v>
      </c>
      <c r="I682" s="153" t="s">
        <v>2168</v>
      </c>
      <c r="J682" s="156">
        <v>676.0</v>
      </c>
      <c r="K682" s="157" t="s">
        <v>2198</v>
      </c>
      <c r="L682" s="158" t="s">
        <v>2199</v>
      </c>
      <c r="M682" s="158"/>
      <c r="N682" s="158"/>
      <c r="O682" s="158"/>
      <c r="P682" s="158"/>
      <c r="Q682" s="158"/>
      <c r="R682" s="158"/>
      <c r="S682" s="158"/>
      <c r="T682" s="158"/>
    </row>
    <row r="683">
      <c r="A683" s="152"/>
      <c r="B683" s="153"/>
      <c r="C683" s="152"/>
      <c r="D683" s="152"/>
      <c r="E683" s="154">
        <v>4161.0</v>
      </c>
      <c r="F683" s="152"/>
      <c r="G683" s="155"/>
      <c r="H683" s="153" t="s">
        <v>2200</v>
      </c>
      <c r="I683" s="153" t="s">
        <v>156</v>
      </c>
      <c r="J683" s="156">
        <v>677.0</v>
      </c>
      <c r="K683" s="157" t="s">
        <v>2201</v>
      </c>
      <c r="L683" s="153" t="s">
        <v>2202</v>
      </c>
      <c r="M683" s="153"/>
      <c r="N683" s="153"/>
      <c r="O683" s="153"/>
      <c r="P683" s="153"/>
      <c r="Q683" s="153"/>
      <c r="R683" s="153"/>
      <c r="S683" s="153"/>
      <c r="T683" s="153"/>
    </row>
    <row r="684">
      <c r="A684" s="152"/>
      <c r="B684" s="153"/>
      <c r="C684" s="152"/>
      <c r="D684" s="152"/>
      <c r="E684" s="154">
        <v>4162.0</v>
      </c>
      <c r="F684" s="152"/>
      <c r="G684" s="155"/>
      <c r="H684" s="153" t="s">
        <v>2203</v>
      </c>
      <c r="I684" s="153" t="s">
        <v>188</v>
      </c>
      <c r="J684" s="156">
        <v>678.0</v>
      </c>
      <c r="K684" s="157" t="s">
        <v>2204</v>
      </c>
      <c r="L684" s="153" t="s">
        <v>2205</v>
      </c>
      <c r="M684" s="153"/>
      <c r="N684" s="153"/>
      <c r="O684" s="153"/>
      <c r="P684" s="153"/>
      <c r="Q684" s="153"/>
      <c r="R684" s="153"/>
      <c r="S684" s="153"/>
      <c r="T684" s="153"/>
    </row>
    <row r="685">
      <c r="A685" s="152"/>
      <c r="B685" s="153"/>
      <c r="C685" s="152"/>
      <c r="D685" s="152"/>
      <c r="E685" s="154">
        <v>4163.0</v>
      </c>
      <c r="F685" s="152"/>
      <c r="G685" s="155"/>
      <c r="H685" s="153" t="s">
        <v>2206</v>
      </c>
      <c r="I685" s="153" t="s">
        <v>230</v>
      </c>
      <c r="J685" s="156">
        <v>679.0</v>
      </c>
      <c r="K685" s="157" t="s">
        <v>2207</v>
      </c>
      <c r="L685" s="158" t="s">
        <v>2208</v>
      </c>
      <c r="M685" s="158"/>
      <c r="N685" s="158"/>
      <c r="O685" s="158"/>
      <c r="P685" s="158"/>
      <c r="Q685" s="158"/>
      <c r="R685" s="158"/>
      <c r="S685" s="158"/>
      <c r="T685" s="158"/>
    </row>
    <row r="686">
      <c r="A686" s="152"/>
      <c r="B686" s="153"/>
      <c r="C686" s="152"/>
      <c r="D686" s="152"/>
      <c r="E686" s="154">
        <v>4164.0</v>
      </c>
      <c r="F686" s="152"/>
      <c r="G686" s="155"/>
      <c r="H686" s="153" t="s">
        <v>2209</v>
      </c>
      <c r="I686" s="153" t="s">
        <v>167</v>
      </c>
      <c r="J686" s="156">
        <v>680.0</v>
      </c>
      <c r="K686" s="157" t="s">
        <v>2210</v>
      </c>
      <c r="L686" s="153" t="s">
        <v>2211</v>
      </c>
      <c r="M686" s="153"/>
      <c r="N686" s="153"/>
      <c r="O686" s="153"/>
      <c r="P686" s="153"/>
      <c r="Q686" s="153"/>
      <c r="R686" s="153"/>
      <c r="S686" s="153"/>
      <c r="T686" s="153"/>
    </row>
    <row r="687">
      <c r="A687" s="152"/>
      <c r="B687" s="153"/>
      <c r="C687" s="152"/>
      <c r="D687" s="152"/>
      <c r="E687" s="154">
        <v>4165.0</v>
      </c>
      <c r="F687" s="152"/>
      <c r="G687" s="155"/>
      <c r="H687" s="153" t="s">
        <v>2212</v>
      </c>
      <c r="I687" s="153" t="s">
        <v>401</v>
      </c>
      <c r="J687" s="156">
        <v>681.0</v>
      </c>
      <c r="K687" s="157" t="s">
        <v>2213</v>
      </c>
      <c r="L687" s="158" t="s">
        <v>2214</v>
      </c>
      <c r="M687" s="158"/>
      <c r="N687" s="158"/>
      <c r="O687" s="158"/>
      <c r="P687" s="158"/>
      <c r="Q687" s="158"/>
      <c r="R687" s="158"/>
      <c r="S687" s="158"/>
      <c r="T687" s="158"/>
    </row>
    <row r="688">
      <c r="A688" s="152"/>
      <c r="B688" s="153"/>
      <c r="C688" s="152"/>
      <c r="D688" s="152"/>
      <c r="E688" s="154">
        <v>4166.0</v>
      </c>
      <c r="F688" s="152"/>
      <c r="G688" s="155"/>
      <c r="H688" s="153" t="s">
        <v>2215</v>
      </c>
      <c r="I688" s="153" t="s">
        <v>167</v>
      </c>
      <c r="J688" s="156">
        <v>682.0</v>
      </c>
      <c r="K688" s="157" t="s">
        <v>2216</v>
      </c>
      <c r="L688" s="153" t="s">
        <v>2217</v>
      </c>
      <c r="M688" s="153"/>
      <c r="N688" s="153"/>
      <c r="O688" s="153"/>
      <c r="P688" s="153"/>
      <c r="Q688" s="153"/>
      <c r="R688" s="153"/>
      <c r="S688" s="153"/>
      <c r="T688" s="153"/>
    </row>
    <row r="689">
      <c r="A689" s="152"/>
      <c r="B689" s="153"/>
      <c r="C689" s="152"/>
      <c r="D689" s="152"/>
      <c r="E689" s="154">
        <v>4211.0</v>
      </c>
      <c r="F689" s="152"/>
      <c r="G689" s="155"/>
      <c r="H689" s="153" t="s">
        <v>2218</v>
      </c>
      <c r="I689" s="153" t="s">
        <v>2219</v>
      </c>
      <c r="J689" s="156">
        <v>683.0</v>
      </c>
      <c r="K689" s="157" t="s">
        <v>2220</v>
      </c>
      <c r="L689" s="158" t="s">
        <v>2221</v>
      </c>
      <c r="M689" s="158"/>
      <c r="N689" s="158"/>
      <c r="O689" s="158"/>
      <c r="P689" s="158"/>
      <c r="Q689" s="158"/>
      <c r="R689" s="158"/>
      <c r="S689" s="158"/>
      <c r="T689" s="158"/>
    </row>
    <row r="690">
      <c r="A690" s="152"/>
      <c r="B690" s="153"/>
      <c r="C690" s="152"/>
      <c r="D690" s="152"/>
      <c r="E690" s="154">
        <v>4212.0</v>
      </c>
      <c r="F690" s="152"/>
      <c r="G690" s="155"/>
      <c r="H690" s="153" t="s">
        <v>2222</v>
      </c>
      <c r="I690" s="153" t="s">
        <v>167</v>
      </c>
      <c r="J690" s="156">
        <v>684.0</v>
      </c>
      <c r="K690" s="157" t="s">
        <v>2223</v>
      </c>
      <c r="L690" s="153" t="s">
        <v>2224</v>
      </c>
      <c r="M690" s="153"/>
      <c r="N690" s="153"/>
      <c r="O690" s="153"/>
      <c r="P690" s="153"/>
      <c r="Q690" s="153"/>
      <c r="R690" s="153"/>
      <c r="S690" s="153"/>
      <c r="T690" s="153"/>
    </row>
    <row r="691">
      <c r="A691" s="152"/>
      <c r="B691" s="153"/>
      <c r="C691" s="152"/>
      <c r="D691" s="152"/>
      <c r="E691" s="154">
        <v>4213.0</v>
      </c>
      <c r="F691" s="152"/>
      <c r="G691" s="155"/>
      <c r="H691" s="153" t="s">
        <v>2225</v>
      </c>
      <c r="I691" s="153" t="s">
        <v>188</v>
      </c>
      <c r="J691" s="156">
        <v>685.0</v>
      </c>
      <c r="K691" s="157" t="s">
        <v>2226</v>
      </c>
      <c r="L691" s="158" t="s">
        <v>2227</v>
      </c>
      <c r="M691" s="158"/>
      <c r="N691" s="158"/>
      <c r="O691" s="158"/>
      <c r="P691" s="158"/>
      <c r="Q691" s="158"/>
      <c r="R691" s="158"/>
      <c r="S691" s="158"/>
      <c r="T691" s="158"/>
    </row>
    <row r="692">
      <c r="A692" s="152"/>
      <c r="B692" s="153"/>
      <c r="C692" s="152"/>
      <c r="D692" s="152"/>
      <c r="E692" s="154">
        <v>4214.0</v>
      </c>
      <c r="F692" s="152"/>
      <c r="G692" s="155"/>
      <c r="H692" s="153" t="s">
        <v>2228</v>
      </c>
      <c r="I692" s="153" t="s">
        <v>167</v>
      </c>
      <c r="J692" s="156">
        <v>686.0</v>
      </c>
      <c r="K692" s="157" t="s">
        <v>2229</v>
      </c>
      <c r="L692" s="158" t="s">
        <v>2230</v>
      </c>
      <c r="M692" s="158"/>
      <c r="N692" s="158"/>
      <c r="O692" s="158"/>
      <c r="P692" s="158"/>
      <c r="Q692" s="158"/>
      <c r="R692" s="158"/>
      <c r="S692" s="158"/>
      <c r="T692" s="158"/>
    </row>
    <row r="693">
      <c r="A693" s="152"/>
      <c r="B693" s="153"/>
      <c r="C693" s="152"/>
      <c r="D693" s="152"/>
      <c r="E693" s="154">
        <v>4215.0</v>
      </c>
      <c r="F693" s="152"/>
      <c r="G693" s="155"/>
      <c r="H693" s="153" t="s">
        <v>2231</v>
      </c>
      <c r="I693" s="153" t="s">
        <v>2232</v>
      </c>
      <c r="J693" s="156">
        <v>687.0</v>
      </c>
      <c r="K693" s="157" t="s">
        <v>2233</v>
      </c>
      <c r="L693" s="158" t="s">
        <v>2234</v>
      </c>
      <c r="M693" s="158"/>
      <c r="N693" s="158"/>
      <c r="O693" s="158"/>
      <c r="P693" s="158"/>
      <c r="Q693" s="158"/>
      <c r="R693" s="158"/>
      <c r="S693" s="158"/>
      <c r="T693" s="158"/>
    </row>
    <row r="694">
      <c r="A694" s="152"/>
      <c r="B694" s="153"/>
      <c r="C694" s="152"/>
      <c r="D694" s="152"/>
      <c r="E694" s="154">
        <v>4216.0</v>
      </c>
      <c r="F694" s="152"/>
      <c r="G694" s="155"/>
      <c r="H694" s="153" t="s">
        <v>2235</v>
      </c>
      <c r="I694" s="153" t="s">
        <v>246</v>
      </c>
      <c r="J694" s="156">
        <v>688.0</v>
      </c>
      <c r="K694" s="157" t="s">
        <v>2236</v>
      </c>
      <c r="L694" s="153" t="s">
        <v>2237</v>
      </c>
      <c r="M694" s="153"/>
      <c r="N694" s="153"/>
      <c r="O694" s="153"/>
      <c r="P694" s="153"/>
      <c r="Q694" s="153"/>
      <c r="R694" s="153"/>
      <c r="S694" s="153"/>
      <c r="T694" s="153"/>
    </row>
    <row r="695">
      <c r="A695" s="152"/>
      <c r="B695" s="153"/>
      <c r="C695" s="152"/>
      <c r="D695" s="152"/>
      <c r="E695" s="154">
        <v>4221.0</v>
      </c>
      <c r="F695" s="152"/>
      <c r="G695" s="155"/>
      <c r="H695" s="153" t="s">
        <v>2238</v>
      </c>
      <c r="I695" s="153" t="s">
        <v>246</v>
      </c>
      <c r="J695" s="156">
        <v>689.0</v>
      </c>
      <c r="K695" s="157" t="s">
        <v>2239</v>
      </c>
      <c r="L695" s="153" t="s">
        <v>2240</v>
      </c>
      <c r="M695" s="153"/>
      <c r="N695" s="153"/>
      <c r="O695" s="153"/>
      <c r="P695" s="153"/>
      <c r="Q695" s="153"/>
      <c r="R695" s="153"/>
      <c r="S695" s="153"/>
      <c r="T695" s="153"/>
    </row>
    <row r="696">
      <c r="A696" s="152"/>
      <c r="B696" s="153"/>
      <c r="C696" s="152"/>
      <c r="D696" s="152"/>
      <c r="E696" s="154">
        <v>4222.0</v>
      </c>
      <c r="F696" s="152"/>
      <c r="G696" s="155"/>
      <c r="H696" s="153" t="s">
        <v>2241</v>
      </c>
      <c r="I696" s="153" t="s">
        <v>2242</v>
      </c>
      <c r="J696" s="156">
        <v>690.0</v>
      </c>
      <c r="K696" s="157" t="s">
        <v>2243</v>
      </c>
      <c r="L696" s="158" t="s">
        <v>2244</v>
      </c>
      <c r="M696" s="158"/>
      <c r="N696" s="158"/>
      <c r="O696" s="158"/>
      <c r="P696" s="158"/>
      <c r="Q696" s="158"/>
      <c r="R696" s="158"/>
      <c r="S696" s="158"/>
      <c r="T696" s="158"/>
    </row>
    <row r="697">
      <c r="A697" s="152"/>
      <c r="B697" s="153"/>
      <c r="C697" s="152"/>
      <c r="D697" s="152"/>
      <c r="E697" s="154">
        <v>4223.0</v>
      </c>
      <c r="F697" s="152"/>
      <c r="G697" s="155"/>
      <c r="H697" s="153" t="s">
        <v>2245</v>
      </c>
      <c r="I697" s="153" t="s">
        <v>2246</v>
      </c>
      <c r="J697" s="156">
        <v>691.0</v>
      </c>
      <c r="K697" s="157" t="s">
        <v>2247</v>
      </c>
      <c r="L697" s="158" t="s">
        <v>2248</v>
      </c>
      <c r="M697" s="158"/>
      <c r="N697" s="158"/>
      <c r="O697" s="158"/>
      <c r="P697" s="158"/>
      <c r="Q697" s="158"/>
      <c r="R697" s="158"/>
      <c r="S697" s="158"/>
      <c r="T697" s="158"/>
    </row>
    <row r="698">
      <c r="A698" s="152"/>
      <c r="B698" s="153"/>
      <c r="C698" s="152"/>
      <c r="D698" s="152"/>
      <c r="E698" s="154">
        <v>4224.0</v>
      </c>
      <c r="F698" s="152"/>
      <c r="G698" s="155"/>
      <c r="H698" s="153" t="s">
        <v>2249</v>
      </c>
      <c r="I698" s="153" t="s">
        <v>230</v>
      </c>
      <c r="J698" s="156">
        <v>692.0</v>
      </c>
      <c r="K698" s="157" t="s">
        <v>2250</v>
      </c>
      <c r="L698" s="153" t="s">
        <v>2251</v>
      </c>
      <c r="M698" s="153"/>
      <c r="N698" s="153"/>
      <c r="O698" s="153"/>
      <c r="P698" s="153"/>
      <c r="Q698" s="153"/>
      <c r="R698" s="153"/>
      <c r="S698" s="153"/>
      <c r="T698" s="153"/>
    </row>
    <row r="699">
      <c r="A699" s="152"/>
      <c r="B699" s="153"/>
      <c r="C699" s="152"/>
      <c r="D699" s="152"/>
      <c r="E699" s="154">
        <v>4225.0</v>
      </c>
      <c r="F699" s="152"/>
      <c r="G699" s="155"/>
      <c r="H699" s="153" t="s">
        <v>2252</v>
      </c>
      <c r="I699" s="153" t="s">
        <v>230</v>
      </c>
      <c r="J699" s="156">
        <v>693.0</v>
      </c>
      <c r="K699" s="157" t="s">
        <v>2250</v>
      </c>
      <c r="L699" s="153" t="s">
        <v>2253</v>
      </c>
      <c r="M699" s="153"/>
      <c r="N699" s="153"/>
      <c r="O699" s="153"/>
      <c r="P699" s="153"/>
      <c r="Q699" s="153"/>
      <c r="R699" s="153"/>
      <c r="S699" s="153"/>
      <c r="T699" s="153"/>
    </row>
    <row r="700">
      <c r="A700" s="152"/>
      <c r="B700" s="153"/>
      <c r="C700" s="152"/>
      <c r="D700" s="152"/>
      <c r="E700" s="154">
        <v>4226.0</v>
      </c>
      <c r="F700" s="152"/>
      <c r="G700" s="155"/>
      <c r="H700" s="153" t="s">
        <v>2254</v>
      </c>
      <c r="I700" s="153" t="s">
        <v>230</v>
      </c>
      <c r="J700" s="156">
        <v>694.0</v>
      </c>
      <c r="K700" s="157" t="s">
        <v>2250</v>
      </c>
      <c r="L700" s="153" t="s">
        <v>2255</v>
      </c>
      <c r="M700" s="153"/>
      <c r="N700" s="153"/>
      <c r="O700" s="153"/>
      <c r="P700" s="153"/>
      <c r="Q700" s="153"/>
      <c r="R700" s="153"/>
      <c r="S700" s="153"/>
      <c r="T700" s="153"/>
    </row>
    <row r="701">
      <c r="A701" s="152"/>
      <c r="B701" s="153"/>
      <c r="C701" s="152"/>
      <c r="D701" s="152"/>
      <c r="E701" s="154">
        <v>4231.0</v>
      </c>
      <c r="F701" s="152"/>
      <c r="G701" s="155"/>
      <c r="H701" s="153" t="s">
        <v>75</v>
      </c>
      <c r="I701" s="153" t="s">
        <v>661</v>
      </c>
      <c r="J701" s="156">
        <v>695.0</v>
      </c>
      <c r="K701" s="157" t="s">
        <v>2256</v>
      </c>
      <c r="L701" s="158" t="s">
        <v>2257</v>
      </c>
      <c r="M701" s="158"/>
      <c r="N701" s="158"/>
      <c r="O701" s="158"/>
      <c r="P701" s="158"/>
      <c r="Q701" s="158"/>
      <c r="R701" s="158"/>
      <c r="S701" s="158"/>
      <c r="T701" s="158"/>
    </row>
    <row r="702">
      <c r="A702" s="152"/>
      <c r="B702" s="153"/>
      <c r="C702" s="152"/>
      <c r="D702" s="152"/>
      <c r="E702" s="154">
        <v>4232.0</v>
      </c>
      <c r="F702" s="152"/>
      <c r="G702" s="155"/>
      <c r="H702" s="153" t="s">
        <v>2258</v>
      </c>
      <c r="I702" s="153" t="s">
        <v>246</v>
      </c>
      <c r="J702" s="156">
        <v>696.0</v>
      </c>
      <c r="K702" s="157" t="s">
        <v>2259</v>
      </c>
      <c r="L702" s="153" t="s">
        <v>2260</v>
      </c>
      <c r="M702" s="153"/>
      <c r="N702" s="153"/>
      <c r="O702" s="153"/>
      <c r="P702" s="153"/>
      <c r="Q702" s="153"/>
      <c r="R702" s="153"/>
      <c r="S702" s="153"/>
      <c r="T702" s="153"/>
    </row>
    <row r="703">
      <c r="A703" s="152"/>
      <c r="B703" s="153"/>
      <c r="C703" s="152"/>
      <c r="D703" s="152"/>
      <c r="E703" s="154">
        <v>4233.0</v>
      </c>
      <c r="F703" s="152"/>
      <c r="G703" s="155"/>
      <c r="H703" s="153" t="s">
        <v>2261</v>
      </c>
      <c r="I703" s="153" t="s">
        <v>824</v>
      </c>
      <c r="J703" s="156">
        <v>697.0</v>
      </c>
      <c r="K703" s="157" t="s">
        <v>2262</v>
      </c>
      <c r="L703" s="153" t="s">
        <v>2263</v>
      </c>
      <c r="M703" s="153"/>
      <c r="N703" s="153"/>
      <c r="O703" s="153"/>
      <c r="P703" s="153"/>
      <c r="Q703" s="153"/>
      <c r="R703" s="153"/>
      <c r="S703" s="153"/>
      <c r="T703" s="153"/>
    </row>
    <row r="704">
      <c r="A704" s="152"/>
      <c r="B704" s="153"/>
      <c r="C704" s="152"/>
      <c r="D704" s="152"/>
      <c r="E704" s="154">
        <v>4234.0</v>
      </c>
      <c r="F704" s="152"/>
      <c r="G704" s="155"/>
      <c r="H704" s="153" t="s">
        <v>2264</v>
      </c>
      <c r="I704" s="153" t="s">
        <v>167</v>
      </c>
      <c r="J704" s="156">
        <v>698.0</v>
      </c>
      <c r="K704" s="157" t="s">
        <v>2265</v>
      </c>
      <c r="L704" s="153" t="s">
        <v>2266</v>
      </c>
      <c r="M704" s="153"/>
      <c r="N704" s="153"/>
      <c r="O704" s="153"/>
      <c r="P704" s="153"/>
      <c r="Q704" s="153"/>
      <c r="R704" s="153"/>
      <c r="S704" s="153"/>
      <c r="T704" s="153"/>
    </row>
    <row r="705">
      <c r="A705" s="152"/>
      <c r="B705" s="153"/>
      <c r="C705" s="152"/>
      <c r="D705" s="152"/>
      <c r="E705" s="154">
        <v>4235.0</v>
      </c>
      <c r="F705" s="152"/>
      <c r="G705" s="155"/>
      <c r="H705" s="153" t="s">
        <v>2267</v>
      </c>
      <c r="I705" s="153" t="s">
        <v>401</v>
      </c>
      <c r="J705" s="156">
        <v>699.0</v>
      </c>
      <c r="K705" s="157" t="s">
        <v>2268</v>
      </c>
      <c r="L705" s="153" t="s">
        <v>2269</v>
      </c>
      <c r="M705" s="153"/>
      <c r="N705" s="153"/>
      <c r="O705" s="153"/>
      <c r="P705" s="153"/>
      <c r="Q705" s="153"/>
      <c r="R705" s="153"/>
      <c r="S705" s="153"/>
      <c r="T705" s="153"/>
    </row>
    <row r="706">
      <c r="A706" s="152"/>
      <c r="B706" s="153"/>
      <c r="C706" s="152"/>
      <c r="D706" s="152"/>
      <c r="E706" s="154">
        <v>4236.0</v>
      </c>
      <c r="F706" s="152"/>
      <c r="G706" s="155"/>
      <c r="H706" s="153" t="s">
        <v>82</v>
      </c>
      <c r="I706" s="153" t="s">
        <v>401</v>
      </c>
      <c r="J706" s="156">
        <v>700.0</v>
      </c>
      <c r="K706" s="157" t="s">
        <v>2268</v>
      </c>
      <c r="L706" s="153" t="s">
        <v>2269</v>
      </c>
      <c r="M706" s="153"/>
      <c r="N706" s="153"/>
      <c r="O706" s="153"/>
      <c r="P706" s="153"/>
      <c r="Q706" s="153"/>
      <c r="R706" s="153"/>
      <c r="S706" s="153"/>
      <c r="T706" s="153"/>
    </row>
    <row r="707">
      <c r="A707" s="152"/>
      <c r="B707" s="153"/>
      <c r="C707" s="152"/>
      <c r="D707" s="152"/>
      <c r="E707" s="154">
        <v>4241.0</v>
      </c>
      <c r="F707" s="152"/>
      <c r="G707" s="155"/>
      <c r="H707" s="153" t="s">
        <v>2270</v>
      </c>
      <c r="I707" s="153" t="s">
        <v>2271</v>
      </c>
      <c r="J707" s="156">
        <v>701.0</v>
      </c>
      <c r="K707" s="157" t="s">
        <v>2272</v>
      </c>
      <c r="L707" s="153" t="s">
        <v>2273</v>
      </c>
      <c r="M707" s="153"/>
      <c r="N707" s="153"/>
      <c r="O707" s="153"/>
      <c r="P707" s="153"/>
      <c r="Q707" s="153"/>
      <c r="R707" s="153"/>
      <c r="S707" s="153"/>
      <c r="T707" s="153"/>
    </row>
    <row r="708">
      <c r="A708" s="152"/>
      <c r="B708" s="153"/>
      <c r="C708" s="152"/>
      <c r="D708" s="152"/>
      <c r="E708" s="154">
        <v>4242.0</v>
      </c>
      <c r="F708" s="152"/>
      <c r="G708" s="155"/>
      <c r="H708" s="153" t="s">
        <v>2274</v>
      </c>
      <c r="I708" s="153" t="s">
        <v>1029</v>
      </c>
      <c r="J708" s="156">
        <v>702.0</v>
      </c>
      <c r="K708" s="157" t="s">
        <v>2275</v>
      </c>
      <c r="L708" s="158" t="s">
        <v>2276</v>
      </c>
      <c r="M708" s="158"/>
      <c r="N708" s="158"/>
      <c r="O708" s="158"/>
      <c r="P708" s="158"/>
      <c r="Q708" s="158"/>
      <c r="R708" s="158"/>
      <c r="S708" s="158"/>
      <c r="T708" s="158"/>
    </row>
    <row r="709">
      <c r="A709" s="152"/>
      <c r="B709" s="153"/>
      <c r="C709" s="152"/>
      <c r="D709" s="152"/>
      <c r="E709" s="154">
        <v>4243.0</v>
      </c>
      <c r="F709" s="152"/>
      <c r="G709" s="155"/>
      <c r="H709" s="153" t="s">
        <v>2277</v>
      </c>
      <c r="I709" s="153" t="s">
        <v>1029</v>
      </c>
      <c r="J709" s="156">
        <v>703.0</v>
      </c>
      <c r="K709" s="157" t="s">
        <v>2275</v>
      </c>
      <c r="L709" s="158" t="s">
        <v>2278</v>
      </c>
      <c r="M709" s="158"/>
      <c r="N709" s="158"/>
      <c r="O709" s="158"/>
      <c r="P709" s="158"/>
      <c r="Q709" s="158"/>
      <c r="R709" s="158"/>
      <c r="S709" s="158"/>
      <c r="T709" s="158"/>
    </row>
    <row r="710">
      <c r="A710" s="152"/>
      <c r="B710" s="153"/>
      <c r="C710" s="152"/>
      <c r="D710" s="152"/>
      <c r="E710" s="154">
        <v>4244.0</v>
      </c>
      <c r="F710" s="152"/>
      <c r="G710" s="155"/>
      <c r="H710" s="153" t="s">
        <v>2279</v>
      </c>
      <c r="I710" s="153" t="s">
        <v>1029</v>
      </c>
      <c r="J710" s="156">
        <v>704.0</v>
      </c>
      <c r="K710" s="157" t="s">
        <v>2280</v>
      </c>
      <c r="L710" s="158" t="s">
        <v>2281</v>
      </c>
      <c r="M710" s="158"/>
      <c r="N710" s="158"/>
      <c r="O710" s="158"/>
      <c r="P710" s="158"/>
      <c r="Q710" s="158"/>
      <c r="R710" s="158"/>
      <c r="S710" s="158"/>
      <c r="T710" s="158"/>
    </row>
    <row r="711">
      <c r="A711" s="152"/>
      <c r="B711" s="153"/>
      <c r="C711" s="152"/>
      <c r="D711" s="152"/>
      <c r="E711" s="154">
        <v>4245.0</v>
      </c>
      <c r="F711" s="152"/>
      <c r="G711" s="155"/>
      <c r="H711" s="153" t="s">
        <v>2282</v>
      </c>
      <c r="I711" s="153" t="s">
        <v>1029</v>
      </c>
      <c r="J711" s="156">
        <v>705.0</v>
      </c>
      <c r="K711" s="157" t="s">
        <v>2283</v>
      </c>
      <c r="L711" s="158" t="s">
        <v>2284</v>
      </c>
      <c r="M711" s="158"/>
      <c r="N711" s="158"/>
      <c r="O711" s="158"/>
      <c r="P711" s="158"/>
      <c r="Q711" s="158"/>
      <c r="R711" s="158"/>
      <c r="S711" s="158"/>
      <c r="T711" s="158"/>
    </row>
    <row r="712">
      <c r="A712" s="152"/>
      <c r="B712" s="153"/>
      <c r="C712" s="152"/>
      <c r="D712" s="152"/>
      <c r="E712" s="154">
        <v>4246.0</v>
      </c>
      <c r="F712" s="152"/>
      <c r="G712" s="155"/>
      <c r="H712" s="153" t="s">
        <v>2285</v>
      </c>
      <c r="I712" s="153" t="s">
        <v>2286</v>
      </c>
      <c r="J712" s="156">
        <v>706.0</v>
      </c>
      <c r="K712" s="157" t="s">
        <v>2287</v>
      </c>
      <c r="L712" s="158" t="s">
        <v>2288</v>
      </c>
      <c r="M712" s="158"/>
      <c r="N712" s="158"/>
      <c r="O712" s="158"/>
      <c r="P712" s="158"/>
      <c r="Q712" s="158"/>
      <c r="R712" s="158"/>
      <c r="S712" s="158"/>
      <c r="T712" s="158"/>
    </row>
    <row r="713">
      <c r="A713" s="152"/>
      <c r="B713" s="153"/>
      <c r="C713" s="152"/>
      <c r="D713" s="152"/>
      <c r="E713" s="154">
        <v>4251.0</v>
      </c>
      <c r="F713" s="152"/>
      <c r="G713" s="155"/>
      <c r="H713" s="153" t="s">
        <v>2289</v>
      </c>
      <c r="I713" s="153" t="s">
        <v>1029</v>
      </c>
      <c r="J713" s="156">
        <v>707.0</v>
      </c>
      <c r="K713" s="157" t="s">
        <v>2290</v>
      </c>
      <c r="L713" s="158" t="s">
        <v>2291</v>
      </c>
      <c r="M713" s="158"/>
      <c r="N713" s="158"/>
      <c r="O713" s="158"/>
      <c r="P713" s="158"/>
      <c r="Q713" s="158"/>
      <c r="R713" s="158"/>
      <c r="S713" s="158"/>
      <c r="T713" s="158"/>
    </row>
    <row r="714">
      <c r="A714" s="152"/>
      <c r="B714" s="153"/>
      <c r="C714" s="152"/>
      <c r="D714" s="152"/>
      <c r="E714" s="154">
        <v>4252.0</v>
      </c>
      <c r="F714" s="152"/>
      <c r="G714" s="155"/>
      <c r="H714" s="153" t="s">
        <v>2292</v>
      </c>
      <c r="I714" s="153" t="s">
        <v>2293</v>
      </c>
      <c r="J714" s="156">
        <v>708.0</v>
      </c>
      <c r="K714" s="157" t="s">
        <v>2294</v>
      </c>
      <c r="L714" s="158" t="s">
        <v>2291</v>
      </c>
      <c r="M714" s="158"/>
      <c r="N714" s="158"/>
      <c r="O714" s="158"/>
      <c r="P714" s="158"/>
      <c r="Q714" s="158"/>
      <c r="R714" s="158"/>
      <c r="S714" s="158"/>
      <c r="T714" s="158"/>
    </row>
    <row r="715">
      <c r="A715" s="152"/>
      <c r="B715" s="153"/>
      <c r="C715" s="152"/>
      <c r="D715" s="152"/>
      <c r="E715" s="154">
        <v>4253.0</v>
      </c>
      <c r="F715" s="152"/>
      <c r="G715" s="155"/>
      <c r="H715" s="153" t="s">
        <v>2295</v>
      </c>
      <c r="I715" s="153" t="s">
        <v>1029</v>
      </c>
      <c r="J715" s="156">
        <v>709.0</v>
      </c>
      <c r="K715" s="157" t="s">
        <v>2296</v>
      </c>
      <c r="L715" s="158" t="s">
        <v>2297</v>
      </c>
      <c r="M715" s="158"/>
      <c r="N715" s="158"/>
      <c r="O715" s="158"/>
      <c r="P715" s="158"/>
      <c r="Q715" s="158"/>
      <c r="R715" s="158"/>
      <c r="S715" s="158"/>
      <c r="T715" s="158"/>
    </row>
    <row r="716">
      <c r="A716" s="152"/>
      <c r="B716" s="153"/>
      <c r="C716" s="152"/>
      <c r="D716" s="152"/>
      <c r="E716" s="154">
        <v>4254.0</v>
      </c>
      <c r="F716" s="152"/>
      <c r="G716" s="155"/>
      <c r="H716" s="153" t="s">
        <v>2298</v>
      </c>
      <c r="I716" s="153" t="s">
        <v>401</v>
      </c>
      <c r="J716" s="156">
        <v>710.0</v>
      </c>
      <c r="K716" s="157" t="s">
        <v>2268</v>
      </c>
      <c r="L716" s="153" t="s">
        <v>2269</v>
      </c>
      <c r="M716" s="153"/>
      <c r="N716" s="153"/>
      <c r="O716" s="153"/>
      <c r="P716" s="153"/>
      <c r="Q716" s="153"/>
      <c r="R716" s="153"/>
      <c r="S716" s="153"/>
      <c r="T716" s="153"/>
    </row>
    <row r="717">
      <c r="A717" s="152"/>
      <c r="B717" s="153"/>
      <c r="C717" s="152"/>
      <c r="D717" s="152"/>
      <c r="E717" s="154">
        <v>4255.0</v>
      </c>
      <c r="F717" s="152"/>
      <c r="G717" s="155"/>
      <c r="H717" s="153" t="s">
        <v>2299</v>
      </c>
      <c r="I717" s="153" t="s">
        <v>1029</v>
      </c>
      <c r="J717" s="156">
        <v>711.0</v>
      </c>
      <c r="K717" s="157" t="s">
        <v>2300</v>
      </c>
      <c r="L717" s="158" t="s">
        <v>2301</v>
      </c>
      <c r="M717" s="158"/>
      <c r="N717" s="158"/>
      <c r="O717" s="158"/>
      <c r="P717" s="158"/>
      <c r="Q717" s="158"/>
      <c r="R717" s="158"/>
      <c r="S717" s="158"/>
      <c r="T717" s="158"/>
    </row>
    <row r="718">
      <c r="A718" s="152"/>
      <c r="B718" s="153"/>
      <c r="C718" s="152"/>
      <c r="D718" s="152"/>
      <c r="E718" s="154">
        <v>4256.0</v>
      </c>
      <c r="F718" s="152"/>
      <c r="G718" s="155"/>
      <c r="H718" s="153" t="s">
        <v>2302</v>
      </c>
      <c r="I718" s="153" t="s">
        <v>401</v>
      </c>
      <c r="J718" s="156">
        <v>712.0</v>
      </c>
      <c r="K718" s="157" t="s">
        <v>2303</v>
      </c>
      <c r="L718" s="158" t="s">
        <v>2304</v>
      </c>
      <c r="M718" s="158"/>
      <c r="N718" s="158"/>
      <c r="O718" s="158"/>
      <c r="P718" s="158"/>
      <c r="Q718" s="158"/>
      <c r="R718" s="158"/>
      <c r="S718" s="158"/>
      <c r="T718" s="158"/>
    </row>
    <row r="719">
      <c r="A719" s="152"/>
      <c r="B719" s="153"/>
      <c r="C719" s="152"/>
      <c r="D719" s="152"/>
      <c r="E719" s="154">
        <v>4261.0</v>
      </c>
      <c r="F719" s="152"/>
      <c r="G719" s="155"/>
      <c r="H719" s="153" t="s">
        <v>2305</v>
      </c>
      <c r="I719" s="153" t="s">
        <v>2306</v>
      </c>
      <c r="J719" s="156">
        <v>713.0</v>
      </c>
      <c r="K719" s="157" t="s">
        <v>2307</v>
      </c>
      <c r="L719" s="153" t="s">
        <v>2308</v>
      </c>
      <c r="M719" s="153"/>
      <c r="N719" s="153"/>
      <c r="O719" s="153"/>
      <c r="P719" s="153"/>
      <c r="Q719" s="153"/>
      <c r="R719" s="153"/>
      <c r="S719" s="153"/>
      <c r="T719" s="153"/>
    </row>
    <row r="720">
      <c r="A720" s="152"/>
      <c r="B720" s="153"/>
      <c r="C720" s="152"/>
      <c r="D720" s="152"/>
      <c r="E720" s="154">
        <v>4262.0</v>
      </c>
      <c r="F720" s="152"/>
      <c r="G720" s="155"/>
      <c r="H720" s="153" t="s">
        <v>2309</v>
      </c>
      <c r="I720" s="153" t="s">
        <v>2310</v>
      </c>
      <c r="J720" s="156">
        <v>714.0</v>
      </c>
      <c r="K720" s="157" t="s">
        <v>2311</v>
      </c>
      <c r="L720" s="158" t="s">
        <v>2312</v>
      </c>
      <c r="M720" s="158"/>
      <c r="N720" s="158"/>
      <c r="O720" s="158"/>
      <c r="P720" s="158"/>
      <c r="Q720" s="158"/>
      <c r="R720" s="158"/>
      <c r="S720" s="158"/>
      <c r="T720" s="158"/>
    </row>
    <row r="721">
      <c r="A721" s="152"/>
      <c r="B721" s="153"/>
      <c r="C721" s="152"/>
      <c r="D721" s="152"/>
      <c r="E721" s="154">
        <v>4263.0</v>
      </c>
      <c r="F721" s="152"/>
      <c r="G721" s="155"/>
      <c r="H721" s="153" t="s">
        <v>2313</v>
      </c>
      <c r="I721" s="153" t="s">
        <v>2310</v>
      </c>
      <c r="J721" s="156">
        <v>715.0</v>
      </c>
      <c r="K721" s="157" t="s">
        <v>2314</v>
      </c>
      <c r="L721" s="158" t="s">
        <v>2315</v>
      </c>
      <c r="M721" s="158"/>
      <c r="N721" s="158"/>
      <c r="O721" s="158"/>
      <c r="P721" s="158"/>
      <c r="Q721" s="158"/>
      <c r="R721" s="158"/>
      <c r="S721" s="158"/>
      <c r="T721" s="158"/>
    </row>
    <row r="722">
      <c r="A722" s="152"/>
      <c r="B722" s="153"/>
      <c r="C722" s="152"/>
      <c r="D722" s="152"/>
      <c r="E722" s="154">
        <v>4264.0</v>
      </c>
      <c r="F722" s="152"/>
      <c r="G722" s="155"/>
      <c r="H722" s="153" t="s">
        <v>2316</v>
      </c>
      <c r="I722" s="153" t="s">
        <v>631</v>
      </c>
      <c r="J722" s="156">
        <v>716.0</v>
      </c>
      <c r="K722" s="157" t="s">
        <v>2317</v>
      </c>
      <c r="L722" s="153" t="s">
        <v>2318</v>
      </c>
      <c r="M722" s="153"/>
      <c r="N722" s="153"/>
      <c r="O722" s="153"/>
      <c r="P722" s="153"/>
      <c r="Q722" s="153"/>
      <c r="R722" s="153"/>
      <c r="S722" s="153"/>
      <c r="T722" s="153"/>
    </row>
    <row r="723">
      <c r="A723" s="152"/>
      <c r="B723" s="153"/>
      <c r="C723" s="152"/>
      <c r="D723" s="152"/>
      <c r="E723" s="154">
        <v>4265.0</v>
      </c>
      <c r="F723" s="152"/>
      <c r="G723" s="155"/>
      <c r="H723" s="153" t="s">
        <v>2319</v>
      </c>
      <c r="I723" s="153" t="s">
        <v>631</v>
      </c>
      <c r="J723" s="156">
        <v>717.0</v>
      </c>
      <c r="K723" s="157" t="s">
        <v>2320</v>
      </c>
      <c r="L723" s="153" t="s">
        <v>2321</v>
      </c>
      <c r="M723" s="153"/>
      <c r="N723" s="153"/>
      <c r="O723" s="153"/>
      <c r="P723" s="153"/>
      <c r="Q723" s="153"/>
      <c r="R723" s="153"/>
      <c r="S723" s="153"/>
      <c r="T723" s="153"/>
    </row>
    <row r="724">
      <c r="A724" s="152"/>
      <c r="B724" s="153"/>
      <c r="C724" s="152"/>
      <c r="D724" s="152"/>
      <c r="E724" s="154">
        <v>4266.0</v>
      </c>
      <c r="F724" s="152"/>
      <c r="G724" s="155"/>
      <c r="H724" s="153" t="s">
        <v>2322</v>
      </c>
      <c r="I724" s="153" t="s">
        <v>2168</v>
      </c>
      <c r="J724" s="156">
        <v>718.0</v>
      </c>
      <c r="K724" s="157" t="s">
        <v>2323</v>
      </c>
      <c r="L724" s="158" t="s">
        <v>2324</v>
      </c>
      <c r="M724" s="158"/>
      <c r="N724" s="158"/>
      <c r="O724" s="158"/>
      <c r="P724" s="158"/>
      <c r="Q724" s="158"/>
      <c r="R724" s="158"/>
      <c r="S724" s="158"/>
      <c r="T724" s="158"/>
    </row>
    <row r="725">
      <c r="A725" s="152"/>
      <c r="B725" s="153"/>
      <c r="C725" s="152"/>
      <c r="D725" s="152"/>
      <c r="E725" s="154">
        <v>4311.0</v>
      </c>
      <c r="F725" s="152"/>
      <c r="G725" s="155"/>
      <c r="H725" s="153" t="s">
        <v>2325</v>
      </c>
      <c r="I725" s="153" t="s">
        <v>156</v>
      </c>
      <c r="J725" s="156">
        <v>719.0</v>
      </c>
      <c r="K725" s="157" t="s">
        <v>2326</v>
      </c>
      <c r="L725" s="158" t="s">
        <v>2327</v>
      </c>
      <c r="M725" s="158"/>
      <c r="N725" s="158"/>
      <c r="O725" s="158"/>
      <c r="P725" s="158"/>
      <c r="Q725" s="158"/>
      <c r="R725" s="158"/>
      <c r="S725" s="158"/>
      <c r="T725" s="158"/>
    </row>
    <row r="726">
      <c r="A726" s="152"/>
      <c r="B726" s="153"/>
      <c r="C726" s="152"/>
      <c r="D726" s="152"/>
      <c r="E726" s="154">
        <v>4312.0</v>
      </c>
      <c r="F726" s="152"/>
      <c r="G726" s="155"/>
      <c r="H726" s="153" t="s">
        <v>2328</v>
      </c>
      <c r="I726" s="153" t="s">
        <v>2130</v>
      </c>
      <c r="J726" s="156">
        <v>720.0</v>
      </c>
      <c r="K726" s="157" t="s">
        <v>2329</v>
      </c>
      <c r="L726" s="158" t="s">
        <v>2330</v>
      </c>
      <c r="M726" s="158"/>
      <c r="N726" s="158"/>
      <c r="O726" s="158"/>
      <c r="P726" s="158"/>
      <c r="Q726" s="158"/>
      <c r="R726" s="158"/>
      <c r="S726" s="158"/>
      <c r="T726" s="158"/>
    </row>
    <row r="727">
      <c r="A727" s="152"/>
      <c r="B727" s="153"/>
      <c r="C727" s="152"/>
      <c r="D727" s="152"/>
      <c r="E727" s="154">
        <v>4313.0</v>
      </c>
      <c r="F727" s="152"/>
      <c r="G727" s="155"/>
      <c r="H727" s="153" t="s">
        <v>2331</v>
      </c>
      <c r="I727" s="153" t="s">
        <v>824</v>
      </c>
      <c r="J727" s="156">
        <v>721.0</v>
      </c>
      <c r="K727" s="157" t="s">
        <v>2332</v>
      </c>
      <c r="L727" s="158" t="s">
        <v>2333</v>
      </c>
      <c r="M727" s="158"/>
      <c r="N727" s="158"/>
      <c r="O727" s="158"/>
      <c r="P727" s="158"/>
      <c r="Q727" s="158"/>
      <c r="R727" s="158"/>
      <c r="S727" s="158"/>
      <c r="T727" s="158"/>
    </row>
    <row r="728">
      <c r="A728" s="152"/>
      <c r="B728" s="153"/>
      <c r="C728" s="152"/>
      <c r="D728" s="152"/>
      <c r="E728" s="154">
        <v>4314.0</v>
      </c>
      <c r="F728" s="152"/>
      <c r="G728" s="155"/>
      <c r="H728" s="153" t="s">
        <v>2334</v>
      </c>
      <c r="I728" s="153" t="s">
        <v>415</v>
      </c>
      <c r="J728" s="156">
        <v>722.0</v>
      </c>
      <c r="K728" s="157" t="s">
        <v>2335</v>
      </c>
      <c r="L728" s="153" t="s">
        <v>2336</v>
      </c>
      <c r="M728" s="153"/>
      <c r="N728" s="153"/>
      <c r="O728" s="153"/>
      <c r="P728" s="153"/>
      <c r="Q728" s="153"/>
      <c r="R728" s="153"/>
      <c r="S728" s="153"/>
      <c r="T728" s="153"/>
    </row>
    <row r="729">
      <c r="A729" s="152"/>
      <c r="B729" s="153"/>
      <c r="C729" s="152"/>
      <c r="D729" s="152"/>
      <c r="E729" s="154">
        <v>4315.0</v>
      </c>
      <c r="F729" s="152"/>
      <c r="G729" s="155"/>
      <c r="H729" s="153" t="s">
        <v>2337</v>
      </c>
      <c r="I729" s="153" t="s">
        <v>608</v>
      </c>
      <c r="J729" s="156">
        <v>723.0</v>
      </c>
      <c r="K729" s="157" t="s">
        <v>2338</v>
      </c>
      <c r="L729" s="158" t="s">
        <v>2339</v>
      </c>
      <c r="M729" s="158"/>
      <c r="N729" s="158"/>
      <c r="O729" s="158"/>
      <c r="P729" s="158"/>
      <c r="Q729" s="158"/>
      <c r="R729" s="158"/>
      <c r="S729" s="158"/>
      <c r="T729" s="158"/>
    </row>
    <row r="730">
      <c r="A730" s="152"/>
      <c r="B730" s="153"/>
      <c r="C730" s="152"/>
      <c r="D730" s="152"/>
      <c r="E730" s="154">
        <v>4316.0</v>
      </c>
      <c r="F730" s="152"/>
      <c r="G730" s="155"/>
      <c r="H730" s="153" t="s">
        <v>2340</v>
      </c>
      <c r="I730" s="153" t="s">
        <v>167</v>
      </c>
      <c r="J730" s="156">
        <v>724.0</v>
      </c>
      <c r="K730" s="157" t="s">
        <v>2341</v>
      </c>
      <c r="L730" s="158" t="s">
        <v>2342</v>
      </c>
      <c r="M730" s="158"/>
      <c r="N730" s="158"/>
      <c r="O730" s="158"/>
      <c r="P730" s="158"/>
      <c r="Q730" s="158"/>
      <c r="R730" s="158"/>
      <c r="S730" s="158"/>
      <c r="T730" s="158"/>
    </row>
    <row r="731">
      <c r="A731" s="152"/>
      <c r="B731" s="153"/>
      <c r="C731" s="152"/>
      <c r="D731" s="152"/>
      <c r="E731" s="154">
        <v>4321.0</v>
      </c>
      <c r="F731" s="152"/>
      <c r="G731" s="155"/>
      <c r="H731" s="153" t="s">
        <v>2343</v>
      </c>
      <c r="I731" s="153" t="s">
        <v>167</v>
      </c>
      <c r="J731" s="156">
        <v>725.0</v>
      </c>
      <c r="K731" s="157" t="s">
        <v>2344</v>
      </c>
      <c r="L731" s="158" t="s">
        <v>2345</v>
      </c>
      <c r="M731" s="158"/>
      <c r="N731" s="158"/>
      <c r="O731" s="158"/>
      <c r="P731" s="158"/>
      <c r="Q731" s="158"/>
      <c r="R731" s="158"/>
      <c r="S731" s="158"/>
      <c r="T731" s="158"/>
    </row>
    <row r="732">
      <c r="A732" s="152"/>
      <c r="B732" s="153"/>
      <c r="C732" s="152"/>
      <c r="D732" s="152"/>
      <c r="E732" s="154">
        <v>4322.0</v>
      </c>
      <c r="F732" s="152"/>
      <c r="G732" s="155"/>
      <c r="H732" s="153" t="s">
        <v>2346</v>
      </c>
      <c r="I732" s="153" t="s">
        <v>167</v>
      </c>
      <c r="J732" s="156">
        <v>726.0</v>
      </c>
      <c r="K732" s="157" t="s">
        <v>2347</v>
      </c>
      <c r="L732" s="158" t="s">
        <v>2348</v>
      </c>
      <c r="M732" s="158"/>
      <c r="N732" s="158"/>
      <c r="O732" s="158"/>
      <c r="P732" s="158"/>
      <c r="Q732" s="158"/>
      <c r="R732" s="158"/>
      <c r="S732" s="158"/>
      <c r="T732" s="158"/>
    </row>
    <row r="733">
      <c r="A733" s="152"/>
      <c r="B733" s="153"/>
      <c r="C733" s="152"/>
      <c r="D733" s="152"/>
      <c r="E733" s="154">
        <v>4323.0</v>
      </c>
      <c r="F733" s="152"/>
      <c r="G733" s="155"/>
      <c r="H733" s="153" t="s">
        <v>2349</v>
      </c>
      <c r="I733" s="153" t="s">
        <v>167</v>
      </c>
      <c r="J733" s="156">
        <v>727.0</v>
      </c>
      <c r="K733" s="157" t="s">
        <v>2350</v>
      </c>
      <c r="L733" s="158" t="s">
        <v>2351</v>
      </c>
      <c r="M733" s="158"/>
      <c r="N733" s="158"/>
      <c r="O733" s="158"/>
      <c r="P733" s="158"/>
      <c r="Q733" s="158"/>
      <c r="R733" s="158"/>
      <c r="S733" s="158"/>
      <c r="T733" s="158"/>
    </row>
    <row r="734">
      <c r="A734" s="152"/>
      <c r="B734" s="153"/>
      <c r="C734" s="152"/>
      <c r="D734" s="152"/>
      <c r="E734" s="154">
        <v>4324.0</v>
      </c>
      <c r="F734" s="152"/>
      <c r="G734" s="155"/>
      <c r="H734" s="153" t="s">
        <v>2352</v>
      </c>
      <c r="I734" s="153" t="s">
        <v>167</v>
      </c>
      <c r="J734" s="156">
        <v>728.0</v>
      </c>
      <c r="K734" s="157" t="s">
        <v>2353</v>
      </c>
      <c r="L734" s="158" t="s">
        <v>2354</v>
      </c>
      <c r="M734" s="158"/>
      <c r="N734" s="158"/>
      <c r="O734" s="158"/>
      <c r="P734" s="158"/>
      <c r="Q734" s="158"/>
      <c r="R734" s="158"/>
      <c r="S734" s="158"/>
      <c r="T734" s="158"/>
    </row>
    <row r="735">
      <c r="A735" s="152"/>
      <c r="B735" s="153"/>
      <c r="C735" s="152"/>
      <c r="D735" s="152"/>
      <c r="E735" s="154">
        <v>4325.0</v>
      </c>
      <c r="F735" s="152"/>
      <c r="G735" s="155"/>
      <c r="H735" s="153" t="s">
        <v>2355</v>
      </c>
      <c r="I735" s="153" t="s">
        <v>2356</v>
      </c>
      <c r="J735" s="156">
        <v>729.0</v>
      </c>
      <c r="K735" s="157" t="s">
        <v>2357</v>
      </c>
      <c r="L735" s="158" t="s">
        <v>2358</v>
      </c>
      <c r="M735" s="158"/>
      <c r="N735" s="158"/>
      <c r="O735" s="158"/>
      <c r="P735" s="158"/>
      <c r="Q735" s="158"/>
      <c r="R735" s="158"/>
      <c r="S735" s="158"/>
      <c r="T735" s="158"/>
    </row>
    <row r="736">
      <c r="A736" s="152"/>
      <c r="B736" s="153"/>
      <c r="C736" s="152"/>
      <c r="D736" s="152"/>
      <c r="E736" s="154">
        <v>4326.0</v>
      </c>
      <c r="F736" s="152"/>
      <c r="G736" s="155"/>
      <c r="H736" s="153" t="s">
        <v>2359</v>
      </c>
      <c r="I736" s="153" t="s">
        <v>2360</v>
      </c>
      <c r="J736" s="156">
        <v>730.0</v>
      </c>
      <c r="K736" s="157" t="s">
        <v>2361</v>
      </c>
      <c r="L736" s="158" t="s">
        <v>2358</v>
      </c>
      <c r="M736" s="158"/>
      <c r="N736" s="158"/>
      <c r="O736" s="158"/>
      <c r="P736" s="158"/>
      <c r="Q736" s="158"/>
      <c r="R736" s="158"/>
      <c r="S736" s="158"/>
      <c r="T736" s="158"/>
    </row>
    <row r="737">
      <c r="A737" s="152"/>
      <c r="B737" s="153"/>
      <c r="C737" s="152"/>
      <c r="D737" s="152"/>
      <c r="E737" s="154">
        <v>4331.0</v>
      </c>
      <c r="F737" s="152"/>
      <c r="G737" s="155"/>
      <c r="H737" s="153" t="s">
        <v>2362</v>
      </c>
      <c r="I737" s="153" t="s">
        <v>2360</v>
      </c>
      <c r="J737" s="156">
        <v>731.0</v>
      </c>
      <c r="K737" s="157" t="s">
        <v>2363</v>
      </c>
      <c r="L737" s="158" t="s">
        <v>2364</v>
      </c>
      <c r="M737" s="158"/>
      <c r="N737" s="158"/>
      <c r="O737" s="158"/>
      <c r="P737" s="158"/>
      <c r="Q737" s="158"/>
      <c r="R737" s="158"/>
      <c r="S737" s="158"/>
      <c r="T737" s="158"/>
    </row>
    <row r="738">
      <c r="A738" s="152"/>
      <c r="B738" s="153"/>
      <c r="C738" s="152"/>
      <c r="D738" s="152"/>
      <c r="E738" s="154">
        <v>4332.0</v>
      </c>
      <c r="F738" s="152"/>
      <c r="G738" s="155"/>
      <c r="H738" s="153" t="s">
        <v>2365</v>
      </c>
      <c r="I738" s="153" t="s">
        <v>156</v>
      </c>
      <c r="J738" s="156">
        <v>732.0</v>
      </c>
      <c r="K738" s="157" t="s">
        <v>2366</v>
      </c>
      <c r="L738" s="153" t="s">
        <v>2367</v>
      </c>
      <c r="M738" s="153"/>
      <c r="N738" s="153"/>
      <c r="O738" s="153"/>
      <c r="P738" s="153"/>
      <c r="Q738" s="153"/>
      <c r="R738" s="153"/>
      <c r="S738" s="153"/>
      <c r="T738" s="153"/>
    </row>
    <row r="739">
      <c r="A739" s="152"/>
      <c r="B739" s="153"/>
      <c r="C739" s="152"/>
      <c r="D739" s="152"/>
      <c r="E739" s="154">
        <v>4333.0</v>
      </c>
      <c r="F739" s="152"/>
      <c r="G739" s="155"/>
      <c r="H739" s="153" t="s">
        <v>2368</v>
      </c>
      <c r="I739" s="153" t="s">
        <v>167</v>
      </c>
      <c r="J739" s="156">
        <v>733.0</v>
      </c>
      <c r="K739" s="157" t="s">
        <v>2369</v>
      </c>
      <c r="L739" s="158" t="s">
        <v>2370</v>
      </c>
      <c r="M739" s="158"/>
      <c r="N739" s="158"/>
      <c r="O739" s="158"/>
      <c r="P739" s="158"/>
      <c r="Q739" s="158"/>
      <c r="R739" s="158"/>
      <c r="S739" s="158"/>
      <c r="T739" s="158"/>
    </row>
    <row r="740">
      <c r="A740" s="152"/>
      <c r="B740" s="153"/>
      <c r="C740" s="152"/>
      <c r="D740" s="152"/>
      <c r="E740" s="154">
        <v>4334.0</v>
      </c>
      <c r="F740" s="152"/>
      <c r="G740" s="155"/>
      <c r="H740" s="153" t="s">
        <v>2371</v>
      </c>
      <c r="I740" s="153" t="s">
        <v>167</v>
      </c>
      <c r="J740" s="156">
        <v>734.0</v>
      </c>
      <c r="K740" s="157" t="s">
        <v>2372</v>
      </c>
      <c r="L740" s="153" t="s">
        <v>2373</v>
      </c>
      <c r="M740" s="153"/>
      <c r="N740" s="153"/>
      <c r="O740" s="153"/>
      <c r="P740" s="153"/>
      <c r="Q740" s="153"/>
      <c r="R740" s="153"/>
      <c r="S740" s="153"/>
      <c r="T740" s="153"/>
    </row>
    <row r="741">
      <c r="A741" s="152"/>
      <c r="B741" s="153"/>
      <c r="C741" s="152"/>
      <c r="D741" s="152"/>
      <c r="E741" s="154">
        <v>4335.0</v>
      </c>
      <c r="F741" s="152"/>
      <c r="G741" s="155"/>
      <c r="H741" s="153" t="s">
        <v>2374</v>
      </c>
      <c r="I741" s="153" t="s">
        <v>167</v>
      </c>
      <c r="J741" s="156">
        <v>735.0</v>
      </c>
      <c r="K741" s="157" t="s">
        <v>2375</v>
      </c>
      <c r="L741" s="158" t="s">
        <v>2376</v>
      </c>
      <c r="M741" s="158"/>
      <c r="N741" s="158"/>
      <c r="O741" s="158"/>
      <c r="P741" s="158"/>
      <c r="Q741" s="158"/>
      <c r="R741" s="158"/>
      <c r="S741" s="158"/>
      <c r="T741" s="158"/>
    </row>
    <row r="742">
      <c r="A742" s="152"/>
      <c r="B742" s="153"/>
      <c r="C742" s="152"/>
      <c r="D742" s="152"/>
      <c r="E742" s="154">
        <v>4336.0</v>
      </c>
      <c r="F742" s="152"/>
      <c r="G742" s="155"/>
      <c r="H742" s="153" t="s">
        <v>2377</v>
      </c>
      <c r="I742" s="153" t="s">
        <v>167</v>
      </c>
      <c r="J742" s="156">
        <v>736.0</v>
      </c>
      <c r="K742" s="157" t="s">
        <v>2378</v>
      </c>
      <c r="L742" s="153" t="s">
        <v>2379</v>
      </c>
      <c r="M742" s="153"/>
      <c r="N742" s="153"/>
      <c r="O742" s="153"/>
      <c r="P742" s="153"/>
      <c r="Q742" s="153"/>
      <c r="R742" s="153"/>
      <c r="S742" s="153"/>
      <c r="T742" s="153"/>
    </row>
    <row r="743">
      <c r="A743" s="152"/>
      <c r="B743" s="153"/>
      <c r="C743" s="152"/>
      <c r="D743" s="152"/>
      <c r="E743" s="154">
        <v>4341.0</v>
      </c>
      <c r="F743" s="152"/>
      <c r="G743" s="155"/>
      <c r="H743" s="153" t="s">
        <v>2380</v>
      </c>
      <c r="I743" s="153" t="s">
        <v>1731</v>
      </c>
      <c r="J743" s="156">
        <v>737.0</v>
      </c>
      <c r="K743" s="157" t="s">
        <v>2381</v>
      </c>
      <c r="L743" s="158" t="s">
        <v>2382</v>
      </c>
      <c r="M743" s="158"/>
      <c r="N743" s="158"/>
      <c r="O743" s="158"/>
      <c r="P743" s="158"/>
      <c r="Q743" s="158"/>
      <c r="R743" s="158"/>
      <c r="S743" s="158"/>
      <c r="T743" s="158"/>
    </row>
    <row r="744">
      <c r="A744" s="152"/>
      <c r="B744" s="153"/>
      <c r="C744" s="152"/>
      <c r="D744" s="152"/>
      <c r="E744" s="154">
        <v>4342.0</v>
      </c>
      <c r="F744" s="152"/>
      <c r="G744" s="155"/>
      <c r="H744" s="153" t="s">
        <v>2383</v>
      </c>
      <c r="I744" s="153" t="s">
        <v>824</v>
      </c>
      <c r="J744" s="156">
        <v>738.0</v>
      </c>
      <c r="K744" s="157" t="s">
        <v>2384</v>
      </c>
      <c r="L744" s="158" t="s">
        <v>2385</v>
      </c>
      <c r="M744" s="158"/>
      <c r="N744" s="158"/>
      <c r="O744" s="158"/>
      <c r="P744" s="158"/>
      <c r="Q744" s="158"/>
      <c r="R744" s="158"/>
      <c r="S744" s="158"/>
      <c r="T744" s="158"/>
    </row>
    <row r="745">
      <c r="A745" s="152"/>
      <c r="B745" s="153"/>
      <c r="C745" s="152"/>
      <c r="D745" s="152"/>
      <c r="E745" s="154">
        <v>4343.0</v>
      </c>
      <c r="F745" s="152"/>
      <c r="G745" s="155"/>
      <c r="H745" s="153" t="s">
        <v>2386</v>
      </c>
      <c r="I745" s="153" t="s">
        <v>2055</v>
      </c>
      <c r="J745" s="156">
        <v>739.0</v>
      </c>
      <c r="K745" s="157" t="s">
        <v>2387</v>
      </c>
      <c r="L745" s="158" t="s">
        <v>2388</v>
      </c>
      <c r="M745" s="158"/>
      <c r="N745" s="158"/>
      <c r="O745" s="158"/>
      <c r="P745" s="158"/>
      <c r="Q745" s="158"/>
      <c r="R745" s="158"/>
      <c r="S745" s="158"/>
      <c r="T745" s="158"/>
    </row>
    <row r="746">
      <c r="A746" s="152"/>
      <c r="B746" s="153"/>
      <c r="C746" s="152"/>
      <c r="D746" s="152"/>
      <c r="E746" s="154">
        <v>4344.0</v>
      </c>
      <c r="F746" s="152"/>
      <c r="G746" s="155"/>
      <c r="H746" s="153" t="s">
        <v>2389</v>
      </c>
      <c r="I746" s="153" t="s">
        <v>2055</v>
      </c>
      <c r="J746" s="156">
        <v>740.0</v>
      </c>
      <c r="K746" s="157" t="s">
        <v>2390</v>
      </c>
      <c r="L746" s="158" t="s">
        <v>2391</v>
      </c>
      <c r="M746" s="158"/>
      <c r="N746" s="158"/>
      <c r="O746" s="158"/>
      <c r="P746" s="158"/>
      <c r="Q746" s="158"/>
      <c r="R746" s="158"/>
      <c r="S746" s="158"/>
      <c r="T746" s="158"/>
    </row>
    <row r="747">
      <c r="A747" s="152"/>
      <c r="B747" s="153"/>
      <c r="C747" s="152"/>
      <c r="D747" s="152"/>
      <c r="E747" s="154">
        <v>4345.0</v>
      </c>
      <c r="F747" s="152"/>
      <c r="G747" s="155"/>
      <c r="H747" s="153" t="s">
        <v>2392</v>
      </c>
      <c r="I747" s="153" t="s">
        <v>156</v>
      </c>
      <c r="J747" s="156">
        <v>741.0</v>
      </c>
      <c r="K747" s="157" t="s">
        <v>2393</v>
      </c>
      <c r="L747" s="153" t="s">
        <v>2394</v>
      </c>
      <c r="M747" s="153"/>
      <c r="N747" s="153"/>
      <c r="O747" s="153"/>
      <c r="P747" s="153"/>
      <c r="Q747" s="153"/>
      <c r="R747" s="153"/>
      <c r="S747" s="153"/>
      <c r="T747" s="153"/>
    </row>
    <row r="748">
      <c r="A748" s="152"/>
      <c r="B748" s="153"/>
      <c r="C748" s="152"/>
      <c r="D748" s="152"/>
      <c r="E748" s="154">
        <v>4346.0</v>
      </c>
      <c r="F748" s="152"/>
      <c r="G748" s="155"/>
      <c r="H748" s="153" t="s">
        <v>2395</v>
      </c>
      <c r="I748" s="153" t="s">
        <v>2396</v>
      </c>
      <c r="J748" s="156">
        <v>742.0</v>
      </c>
      <c r="K748" s="157" t="s">
        <v>2397</v>
      </c>
      <c r="L748" s="158" t="s">
        <v>2398</v>
      </c>
      <c r="M748" s="158"/>
      <c r="N748" s="158"/>
      <c r="O748" s="158"/>
      <c r="P748" s="158"/>
      <c r="Q748" s="158"/>
      <c r="R748" s="158"/>
      <c r="S748" s="158"/>
      <c r="T748" s="158"/>
    </row>
    <row r="749">
      <c r="A749" s="152"/>
      <c r="B749" s="153"/>
      <c r="C749" s="152"/>
      <c r="D749" s="152"/>
      <c r="E749" s="154">
        <v>4351.0</v>
      </c>
      <c r="F749" s="152"/>
      <c r="G749" s="155"/>
      <c r="H749" s="153" t="s">
        <v>2399</v>
      </c>
      <c r="I749" s="153" t="s">
        <v>156</v>
      </c>
      <c r="J749" s="156">
        <v>743.0</v>
      </c>
      <c r="K749" s="157" t="s">
        <v>2397</v>
      </c>
      <c r="L749" s="153" t="s">
        <v>2394</v>
      </c>
      <c r="M749" s="153"/>
      <c r="N749" s="153"/>
      <c r="O749" s="153"/>
      <c r="P749" s="153"/>
      <c r="Q749" s="153"/>
      <c r="R749" s="153"/>
      <c r="S749" s="153"/>
      <c r="T749" s="153"/>
    </row>
    <row r="750">
      <c r="A750" s="152"/>
      <c r="B750" s="153"/>
      <c r="C750" s="152"/>
      <c r="D750" s="152"/>
      <c r="E750" s="154">
        <v>4352.0</v>
      </c>
      <c r="F750" s="152"/>
      <c r="G750" s="155"/>
      <c r="H750" s="153" t="s">
        <v>2400</v>
      </c>
      <c r="I750" s="153" t="s">
        <v>167</v>
      </c>
      <c r="J750" s="156">
        <v>744.0</v>
      </c>
      <c r="K750" s="157" t="s">
        <v>2401</v>
      </c>
      <c r="L750" s="158" t="s">
        <v>2402</v>
      </c>
      <c r="M750" s="158"/>
      <c r="N750" s="158"/>
      <c r="O750" s="158"/>
      <c r="P750" s="158"/>
      <c r="Q750" s="158"/>
      <c r="R750" s="158"/>
      <c r="S750" s="158"/>
      <c r="T750" s="158"/>
    </row>
    <row r="751">
      <c r="A751" s="152"/>
      <c r="B751" s="153"/>
      <c r="C751" s="152"/>
      <c r="D751" s="152"/>
      <c r="E751" s="154">
        <v>4353.0</v>
      </c>
      <c r="F751" s="152"/>
      <c r="G751" s="155"/>
      <c r="H751" s="153" t="s">
        <v>2403</v>
      </c>
      <c r="I751" s="153" t="s">
        <v>2396</v>
      </c>
      <c r="J751" s="156">
        <v>745.0</v>
      </c>
      <c r="K751" s="157" t="s">
        <v>2404</v>
      </c>
      <c r="L751" s="158" t="s">
        <v>2405</v>
      </c>
      <c r="M751" s="158"/>
      <c r="N751" s="158"/>
      <c r="O751" s="158"/>
      <c r="P751" s="158"/>
      <c r="Q751" s="158"/>
      <c r="R751" s="158"/>
      <c r="S751" s="158"/>
      <c r="T751" s="158"/>
    </row>
    <row r="752">
      <c r="A752" s="152"/>
      <c r="B752" s="153"/>
      <c r="C752" s="152"/>
      <c r="D752" s="152"/>
      <c r="E752" s="154">
        <v>4354.0</v>
      </c>
      <c r="F752" s="152"/>
      <c r="G752" s="155"/>
      <c r="H752" s="153" t="s">
        <v>2406</v>
      </c>
      <c r="I752" s="153" t="s">
        <v>434</v>
      </c>
      <c r="J752" s="156">
        <v>746.0</v>
      </c>
      <c r="K752" s="157" t="s">
        <v>2407</v>
      </c>
      <c r="L752" s="158" t="s">
        <v>2408</v>
      </c>
      <c r="M752" s="158"/>
      <c r="N752" s="158"/>
      <c r="O752" s="158"/>
      <c r="P752" s="158"/>
      <c r="Q752" s="158"/>
      <c r="R752" s="158"/>
      <c r="S752" s="158"/>
      <c r="T752" s="158"/>
    </row>
    <row r="753">
      <c r="A753" s="152"/>
      <c r="B753" s="153"/>
      <c r="C753" s="152"/>
      <c r="D753" s="152"/>
      <c r="E753" s="154">
        <v>4355.0</v>
      </c>
      <c r="F753" s="152"/>
      <c r="G753" s="155"/>
      <c r="H753" s="153" t="s">
        <v>2409</v>
      </c>
      <c r="I753" s="153" t="s">
        <v>2130</v>
      </c>
      <c r="J753" s="156">
        <v>747.0</v>
      </c>
      <c r="K753" s="157" t="s">
        <v>2410</v>
      </c>
      <c r="L753" s="158" t="s">
        <v>2411</v>
      </c>
      <c r="M753" s="158"/>
      <c r="N753" s="158"/>
      <c r="O753" s="158"/>
      <c r="P753" s="158"/>
      <c r="Q753" s="158"/>
      <c r="R753" s="158"/>
      <c r="S753" s="158"/>
      <c r="T753" s="158"/>
    </row>
    <row r="754">
      <c r="A754" s="152"/>
      <c r="B754" s="153"/>
      <c r="C754" s="152"/>
      <c r="D754" s="152"/>
      <c r="E754" s="154">
        <v>4356.0</v>
      </c>
      <c r="F754" s="152"/>
      <c r="G754" s="155"/>
      <c r="H754" s="153" t="s">
        <v>2412</v>
      </c>
      <c r="I754" s="153" t="s">
        <v>2413</v>
      </c>
      <c r="J754" s="156">
        <v>748.0</v>
      </c>
      <c r="K754" s="157" t="s">
        <v>2414</v>
      </c>
      <c r="L754" s="158" t="s">
        <v>2415</v>
      </c>
      <c r="M754" s="158"/>
      <c r="N754" s="158"/>
      <c r="O754" s="158"/>
      <c r="P754" s="158"/>
      <c r="Q754" s="158"/>
      <c r="R754" s="158"/>
      <c r="S754" s="158"/>
      <c r="T754" s="158"/>
    </row>
    <row r="755">
      <c r="A755" s="152"/>
      <c r="B755" s="153"/>
      <c r="C755" s="152"/>
      <c r="D755" s="152"/>
      <c r="E755" s="154">
        <v>4361.0</v>
      </c>
      <c r="F755" s="152"/>
      <c r="G755" s="155"/>
      <c r="H755" s="153" t="s">
        <v>2416</v>
      </c>
      <c r="I755" s="153" t="s">
        <v>246</v>
      </c>
      <c r="J755" s="156">
        <v>749.0</v>
      </c>
      <c r="K755" s="157" t="s">
        <v>2417</v>
      </c>
      <c r="L755" s="153" t="s">
        <v>2418</v>
      </c>
      <c r="M755" s="153"/>
      <c r="N755" s="153"/>
      <c r="O755" s="153"/>
      <c r="P755" s="153"/>
      <c r="Q755" s="153"/>
      <c r="R755" s="153"/>
      <c r="S755" s="153"/>
      <c r="T755" s="153"/>
    </row>
    <row r="756">
      <c r="A756" s="152"/>
      <c r="B756" s="153"/>
      <c r="C756" s="152"/>
      <c r="D756" s="152"/>
      <c r="E756" s="154">
        <v>4362.0</v>
      </c>
      <c r="F756" s="152"/>
      <c r="G756" s="155"/>
      <c r="H756" s="153" t="s">
        <v>2419</v>
      </c>
      <c r="I756" s="153" t="s">
        <v>246</v>
      </c>
      <c r="J756" s="156">
        <v>750.0</v>
      </c>
      <c r="K756" s="157" t="s">
        <v>2420</v>
      </c>
      <c r="L756" s="158" t="s">
        <v>2421</v>
      </c>
      <c r="M756" s="158"/>
      <c r="N756" s="158"/>
      <c r="O756" s="158"/>
      <c r="P756" s="158"/>
      <c r="Q756" s="158"/>
      <c r="R756" s="158"/>
      <c r="S756" s="158"/>
      <c r="T756" s="158"/>
    </row>
    <row r="757">
      <c r="A757" s="152"/>
      <c r="B757" s="153"/>
      <c r="C757" s="152"/>
      <c r="D757" s="152"/>
      <c r="E757" s="154">
        <v>4363.0</v>
      </c>
      <c r="F757" s="152"/>
      <c r="G757" s="155"/>
      <c r="H757" s="153" t="s">
        <v>2422</v>
      </c>
      <c r="I757" s="153" t="s">
        <v>2168</v>
      </c>
      <c r="J757" s="156">
        <v>751.0</v>
      </c>
      <c r="K757" s="157" t="s">
        <v>2423</v>
      </c>
      <c r="L757" s="158" t="s">
        <v>2424</v>
      </c>
      <c r="M757" s="158"/>
      <c r="N757" s="158"/>
      <c r="O757" s="158"/>
      <c r="P757" s="158"/>
      <c r="Q757" s="158"/>
      <c r="R757" s="158"/>
      <c r="S757" s="158"/>
      <c r="T757" s="158"/>
    </row>
    <row r="758">
      <c r="A758" s="152"/>
      <c r="B758" s="153"/>
      <c r="C758" s="152"/>
      <c r="D758" s="152"/>
      <c r="E758" s="154">
        <v>4364.0</v>
      </c>
      <c r="F758" s="152"/>
      <c r="G758" s="155"/>
      <c r="H758" s="153" t="s">
        <v>2425</v>
      </c>
      <c r="I758" s="153" t="s">
        <v>2055</v>
      </c>
      <c r="J758" s="156">
        <v>752.0</v>
      </c>
      <c r="K758" s="157" t="s">
        <v>2426</v>
      </c>
      <c r="L758" s="158" t="s">
        <v>2427</v>
      </c>
      <c r="M758" s="158"/>
      <c r="N758" s="158"/>
      <c r="O758" s="158"/>
      <c r="P758" s="158"/>
      <c r="Q758" s="158"/>
      <c r="R758" s="158"/>
      <c r="S758" s="158"/>
      <c r="T758" s="158"/>
    </row>
    <row r="759">
      <c r="A759" s="152"/>
      <c r="B759" s="153"/>
      <c r="C759" s="152"/>
      <c r="D759" s="152"/>
      <c r="E759" s="154">
        <v>4365.0</v>
      </c>
      <c r="F759" s="152"/>
      <c r="G759" s="155"/>
      <c r="H759" s="153" t="s">
        <v>2428</v>
      </c>
      <c r="I759" s="153" t="s">
        <v>2429</v>
      </c>
      <c r="J759" s="156">
        <v>753.0</v>
      </c>
      <c r="K759" s="157" t="s">
        <v>2430</v>
      </c>
      <c r="L759" s="158" t="s">
        <v>2431</v>
      </c>
      <c r="M759" s="158"/>
      <c r="N759" s="158"/>
      <c r="O759" s="158"/>
      <c r="P759" s="158"/>
      <c r="Q759" s="158"/>
      <c r="R759" s="158"/>
      <c r="S759" s="158"/>
      <c r="T759" s="158"/>
    </row>
    <row r="760">
      <c r="A760" s="152"/>
      <c r="B760" s="153"/>
      <c r="C760" s="152"/>
      <c r="D760" s="152"/>
      <c r="E760" s="154">
        <v>4366.0</v>
      </c>
      <c r="F760" s="152"/>
      <c r="G760" s="155"/>
      <c r="H760" s="153" t="s">
        <v>2432</v>
      </c>
      <c r="I760" s="153" t="s">
        <v>2055</v>
      </c>
      <c r="J760" s="156">
        <v>754.0</v>
      </c>
      <c r="K760" s="157" t="s">
        <v>2433</v>
      </c>
      <c r="L760" s="153" t="s">
        <v>2434</v>
      </c>
      <c r="M760" s="153"/>
      <c r="N760" s="153"/>
      <c r="O760" s="153"/>
      <c r="P760" s="153"/>
      <c r="Q760" s="153"/>
      <c r="R760" s="153"/>
      <c r="S760" s="153"/>
      <c r="T760" s="153"/>
    </row>
    <row r="761">
      <c r="A761" s="152"/>
      <c r="B761" s="153"/>
      <c r="C761" s="152"/>
      <c r="D761" s="152"/>
      <c r="E761" s="154">
        <v>4411.0</v>
      </c>
      <c r="F761" s="152"/>
      <c r="G761" s="155"/>
      <c r="H761" s="153" t="s">
        <v>2435</v>
      </c>
      <c r="I761" s="153" t="s">
        <v>2130</v>
      </c>
      <c r="J761" s="156">
        <v>755.0</v>
      </c>
      <c r="K761" s="157" t="s">
        <v>2436</v>
      </c>
      <c r="L761" s="158" t="s">
        <v>2437</v>
      </c>
      <c r="M761" s="158"/>
      <c r="N761" s="158"/>
      <c r="O761" s="158"/>
      <c r="P761" s="158"/>
      <c r="Q761" s="158"/>
      <c r="R761" s="158"/>
      <c r="S761" s="158"/>
      <c r="T761" s="158"/>
    </row>
    <row r="762">
      <c r="A762" s="152"/>
      <c r="B762" s="153"/>
      <c r="C762" s="152"/>
      <c r="D762" s="152"/>
      <c r="E762" s="154">
        <v>4412.0</v>
      </c>
      <c r="F762" s="152"/>
      <c r="G762" s="155"/>
      <c r="H762" s="153" t="s">
        <v>2438</v>
      </c>
      <c r="I762" s="153" t="s">
        <v>156</v>
      </c>
      <c r="J762" s="156">
        <v>756.0</v>
      </c>
      <c r="K762" s="157" t="s">
        <v>2439</v>
      </c>
      <c r="L762" s="158" t="s">
        <v>2440</v>
      </c>
      <c r="M762" s="158"/>
      <c r="N762" s="158"/>
      <c r="O762" s="158"/>
      <c r="P762" s="158"/>
      <c r="Q762" s="158"/>
      <c r="R762" s="158"/>
      <c r="S762" s="158"/>
      <c r="T762" s="158"/>
    </row>
    <row r="763">
      <c r="A763" s="152"/>
      <c r="B763" s="153"/>
      <c r="C763" s="152"/>
      <c r="D763" s="152"/>
      <c r="E763" s="154">
        <v>4413.0</v>
      </c>
      <c r="F763" s="152"/>
      <c r="G763" s="155"/>
      <c r="H763" s="153" t="s">
        <v>2441</v>
      </c>
      <c r="I763" s="153" t="s">
        <v>2442</v>
      </c>
      <c r="J763" s="156">
        <v>757.0</v>
      </c>
      <c r="K763" s="157" t="s">
        <v>2443</v>
      </c>
      <c r="L763" s="158" t="s">
        <v>2444</v>
      </c>
      <c r="M763" s="158"/>
      <c r="N763" s="158"/>
      <c r="O763" s="158"/>
      <c r="P763" s="158"/>
      <c r="Q763" s="158"/>
      <c r="R763" s="158"/>
      <c r="S763" s="158"/>
      <c r="T763" s="158"/>
    </row>
    <row r="764">
      <c r="A764" s="152"/>
      <c r="B764" s="153"/>
      <c r="C764" s="152"/>
      <c r="D764" s="152"/>
      <c r="E764" s="154">
        <v>4414.0</v>
      </c>
      <c r="F764" s="152"/>
      <c r="G764" s="155"/>
      <c r="H764" s="153" t="s">
        <v>2445</v>
      </c>
      <c r="I764" s="153" t="s">
        <v>631</v>
      </c>
      <c r="J764" s="156">
        <v>758.0</v>
      </c>
      <c r="K764" s="157" t="s">
        <v>2446</v>
      </c>
      <c r="L764" s="153" t="s">
        <v>2447</v>
      </c>
      <c r="M764" s="153"/>
      <c r="N764" s="153"/>
      <c r="O764" s="153"/>
      <c r="P764" s="153"/>
      <c r="Q764" s="153"/>
      <c r="R764" s="153"/>
      <c r="S764" s="153"/>
      <c r="T764" s="153"/>
    </row>
    <row r="765">
      <c r="A765" s="152"/>
      <c r="B765" s="153"/>
      <c r="C765" s="152"/>
      <c r="D765" s="152"/>
      <c r="E765" s="154">
        <v>4415.0</v>
      </c>
      <c r="F765" s="152"/>
      <c r="G765" s="155"/>
      <c r="H765" s="153" t="s">
        <v>2448</v>
      </c>
      <c r="I765" s="153" t="s">
        <v>2449</v>
      </c>
      <c r="J765" s="156">
        <v>759.0</v>
      </c>
      <c r="K765" s="157" t="s">
        <v>2450</v>
      </c>
      <c r="L765" s="153" t="s">
        <v>1850</v>
      </c>
      <c r="M765" s="153"/>
      <c r="N765" s="153"/>
      <c r="O765" s="153"/>
      <c r="P765" s="153"/>
      <c r="Q765" s="153"/>
      <c r="R765" s="153"/>
      <c r="S765" s="153"/>
      <c r="T765" s="153"/>
    </row>
    <row r="766">
      <c r="A766" s="152"/>
      <c r="B766" s="153"/>
      <c r="C766" s="152"/>
      <c r="D766" s="152"/>
      <c r="E766" s="154">
        <v>4416.0</v>
      </c>
      <c r="F766" s="152"/>
      <c r="G766" s="155"/>
      <c r="H766" s="153" t="s">
        <v>2451</v>
      </c>
      <c r="I766" s="153" t="s">
        <v>2449</v>
      </c>
      <c r="J766" s="156">
        <v>760.0</v>
      </c>
      <c r="K766" s="157" t="s">
        <v>2452</v>
      </c>
      <c r="L766" s="153" t="s">
        <v>2453</v>
      </c>
      <c r="M766" s="153"/>
      <c r="N766" s="153"/>
      <c r="O766" s="153"/>
      <c r="P766" s="153"/>
      <c r="Q766" s="153"/>
      <c r="R766" s="153"/>
      <c r="S766" s="153"/>
      <c r="T766" s="153"/>
    </row>
    <row r="767">
      <c r="A767" s="152"/>
      <c r="B767" s="153"/>
      <c r="C767" s="152"/>
      <c r="D767" s="152"/>
      <c r="E767" s="154">
        <v>4421.0</v>
      </c>
      <c r="F767" s="152"/>
      <c r="G767" s="155"/>
      <c r="H767" s="153" t="s">
        <v>2454</v>
      </c>
      <c r="I767" s="153" t="s">
        <v>2130</v>
      </c>
      <c r="J767" s="156">
        <v>761.0</v>
      </c>
      <c r="K767" s="157" t="s">
        <v>2455</v>
      </c>
      <c r="L767" s="158" t="s">
        <v>2456</v>
      </c>
      <c r="M767" s="158"/>
      <c r="N767" s="158"/>
      <c r="O767" s="158"/>
      <c r="P767" s="158"/>
      <c r="Q767" s="158"/>
      <c r="R767" s="158"/>
      <c r="S767" s="158"/>
      <c r="T767" s="158"/>
    </row>
    <row r="768">
      <c r="A768" s="152"/>
      <c r="B768" s="153"/>
      <c r="C768" s="152"/>
      <c r="D768" s="152"/>
      <c r="E768" s="154">
        <v>4422.0</v>
      </c>
      <c r="F768" s="152"/>
      <c r="G768" s="155"/>
      <c r="H768" s="153" t="s">
        <v>2457</v>
      </c>
      <c r="I768" s="153" t="s">
        <v>156</v>
      </c>
      <c r="J768" s="156">
        <v>762.0</v>
      </c>
      <c r="K768" s="157" t="s">
        <v>2458</v>
      </c>
      <c r="L768" s="153" t="s">
        <v>2459</v>
      </c>
      <c r="M768" s="153"/>
      <c r="N768" s="153"/>
      <c r="O768" s="153"/>
      <c r="P768" s="153"/>
      <c r="Q768" s="153"/>
      <c r="R768" s="153"/>
      <c r="S768" s="153"/>
      <c r="T768" s="153"/>
    </row>
    <row r="769">
      <c r="A769" s="152"/>
      <c r="B769" s="153"/>
      <c r="C769" s="152"/>
      <c r="D769" s="152"/>
      <c r="E769" s="154">
        <v>4423.0</v>
      </c>
      <c r="F769" s="152"/>
      <c r="G769" s="155"/>
      <c r="H769" s="153" t="s">
        <v>2460</v>
      </c>
      <c r="I769" s="153" t="s">
        <v>207</v>
      </c>
      <c r="J769" s="156">
        <v>763.0</v>
      </c>
      <c r="K769" s="157" t="s">
        <v>2461</v>
      </c>
      <c r="L769" s="153" t="s">
        <v>2462</v>
      </c>
      <c r="M769" s="153"/>
      <c r="N769" s="153"/>
      <c r="O769" s="153"/>
      <c r="P769" s="153"/>
      <c r="Q769" s="153"/>
      <c r="R769" s="153"/>
      <c r="S769" s="153"/>
      <c r="T769" s="153"/>
    </row>
    <row r="770">
      <c r="A770" s="152"/>
      <c r="B770" s="153"/>
      <c r="C770" s="152"/>
      <c r="D770" s="152"/>
      <c r="E770" s="154">
        <v>4424.0</v>
      </c>
      <c r="F770" s="152"/>
      <c r="G770" s="155"/>
      <c r="H770" s="153" t="s">
        <v>2463</v>
      </c>
      <c r="I770" s="153" t="s">
        <v>230</v>
      </c>
      <c r="J770" s="156">
        <v>764.0</v>
      </c>
      <c r="K770" s="157" t="s">
        <v>2464</v>
      </c>
      <c r="L770" s="158" t="s">
        <v>2465</v>
      </c>
      <c r="M770" s="158"/>
      <c r="N770" s="158"/>
      <c r="O770" s="158"/>
      <c r="P770" s="158"/>
      <c r="Q770" s="158"/>
      <c r="R770" s="158"/>
      <c r="S770" s="158"/>
      <c r="T770" s="158"/>
    </row>
    <row r="771">
      <c r="A771" s="152"/>
      <c r="B771" s="153"/>
      <c r="C771" s="152"/>
      <c r="D771" s="152"/>
      <c r="E771" s="154">
        <v>4425.0</v>
      </c>
      <c r="F771" s="152"/>
      <c r="G771" s="155"/>
      <c r="H771" s="153" t="s">
        <v>2466</v>
      </c>
      <c r="I771" s="153" t="s">
        <v>230</v>
      </c>
      <c r="J771" s="156">
        <v>765.0</v>
      </c>
      <c r="K771" s="157" t="s">
        <v>2467</v>
      </c>
      <c r="L771" s="158" t="s">
        <v>2468</v>
      </c>
      <c r="M771" s="158"/>
      <c r="N771" s="158"/>
      <c r="O771" s="158"/>
      <c r="P771" s="158"/>
      <c r="Q771" s="158"/>
      <c r="R771" s="158"/>
      <c r="S771" s="158"/>
      <c r="T771" s="158"/>
    </row>
    <row r="772">
      <c r="A772" s="152"/>
      <c r="B772" s="153"/>
      <c r="C772" s="152"/>
      <c r="D772" s="152"/>
      <c r="E772" s="154">
        <v>4426.0</v>
      </c>
      <c r="F772" s="152"/>
      <c r="G772" s="155"/>
      <c r="H772" s="153" t="s">
        <v>2469</v>
      </c>
      <c r="I772" s="153" t="s">
        <v>230</v>
      </c>
      <c r="J772" s="156">
        <v>766.0</v>
      </c>
      <c r="K772" s="157" t="s">
        <v>2470</v>
      </c>
      <c r="L772" s="153" t="s">
        <v>2471</v>
      </c>
      <c r="M772" s="153"/>
      <c r="N772" s="153"/>
      <c r="O772" s="153"/>
      <c r="P772" s="153"/>
      <c r="Q772" s="153"/>
      <c r="R772" s="153"/>
      <c r="S772" s="153"/>
      <c r="T772" s="153"/>
    </row>
    <row r="773">
      <c r="A773" s="152"/>
      <c r="B773" s="153"/>
      <c r="C773" s="152"/>
      <c r="D773" s="152"/>
      <c r="E773" s="154">
        <v>4431.0</v>
      </c>
      <c r="F773" s="152"/>
      <c r="G773" s="155"/>
      <c r="H773" s="153" t="s">
        <v>2472</v>
      </c>
      <c r="I773" s="153" t="s">
        <v>434</v>
      </c>
      <c r="J773" s="156">
        <v>767.0</v>
      </c>
      <c r="K773" s="157" t="s">
        <v>2473</v>
      </c>
      <c r="L773" s="153" t="s">
        <v>2474</v>
      </c>
      <c r="M773" s="153"/>
      <c r="N773" s="153"/>
      <c r="O773" s="153"/>
      <c r="P773" s="153"/>
      <c r="Q773" s="153"/>
      <c r="R773" s="153"/>
      <c r="S773" s="153"/>
      <c r="T773" s="153"/>
    </row>
    <row r="774">
      <c r="A774" s="152"/>
      <c r="B774" s="153"/>
      <c r="C774" s="152"/>
      <c r="D774" s="152"/>
      <c r="E774" s="154">
        <v>4432.0</v>
      </c>
      <c r="F774" s="152"/>
      <c r="G774" s="155"/>
      <c r="H774" s="153" t="s">
        <v>2475</v>
      </c>
      <c r="I774" s="153" t="s">
        <v>1084</v>
      </c>
      <c r="J774" s="156">
        <v>768.0</v>
      </c>
      <c r="K774" s="157" t="s">
        <v>2476</v>
      </c>
      <c r="L774" s="158" t="s">
        <v>2477</v>
      </c>
      <c r="M774" s="158"/>
      <c r="N774" s="158"/>
      <c r="O774" s="158"/>
      <c r="P774" s="158"/>
      <c r="Q774" s="158"/>
      <c r="R774" s="158"/>
      <c r="S774" s="158"/>
      <c r="T774" s="158"/>
    </row>
    <row r="775">
      <c r="A775" s="152"/>
      <c r="B775" s="153"/>
      <c r="C775" s="152"/>
      <c r="D775" s="152"/>
      <c r="E775" s="154">
        <v>4433.0</v>
      </c>
      <c r="F775" s="152"/>
      <c r="G775" s="155"/>
      <c r="H775" s="153" t="s">
        <v>2478</v>
      </c>
      <c r="I775" s="153" t="s">
        <v>230</v>
      </c>
      <c r="J775" s="156">
        <v>769.0</v>
      </c>
      <c r="K775" s="157" t="s">
        <v>2479</v>
      </c>
      <c r="L775" s="153" t="s">
        <v>2480</v>
      </c>
      <c r="M775" s="153"/>
      <c r="N775" s="153"/>
      <c r="O775" s="153"/>
      <c r="P775" s="153"/>
      <c r="Q775" s="153"/>
      <c r="R775" s="153"/>
      <c r="S775" s="153"/>
      <c r="T775" s="153"/>
    </row>
    <row r="776">
      <c r="A776" s="152"/>
      <c r="B776" s="153"/>
      <c r="C776" s="152"/>
      <c r="D776" s="152"/>
      <c r="E776" s="154">
        <v>4434.0</v>
      </c>
      <c r="F776" s="152"/>
      <c r="G776" s="155"/>
      <c r="H776" s="153" t="s">
        <v>2481</v>
      </c>
      <c r="I776" s="153" t="s">
        <v>2482</v>
      </c>
      <c r="J776" s="156">
        <v>770.0</v>
      </c>
      <c r="K776" s="157" t="s">
        <v>2483</v>
      </c>
      <c r="L776" s="153" t="s">
        <v>2484</v>
      </c>
      <c r="M776" s="153"/>
      <c r="N776" s="153"/>
      <c r="O776" s="153"/>
      <c r="P776" s="153"/>
      <c r="Q776" s="153"/>
      <c r="R776" s="153"/>
      <c r="S776" s="153"/>
      <c r="T776" s="153"/>
    </row>
    <row r="777">
      <c r="A777" s="152"/>
      <c r="B777" s="153"/>
      <c r="C777" s="152"/>
      <c r="D777" s="152"/>
      <c r="E777" s="154">
        <v>4435.0</v>
      </c>
      <c r="F777" s="152"/>
      <c r="G777" s="155"/>
      <c r="H777" s="153" t="s">
        <v>2485</v>
      </c>
      <c r="I777" s="153" t="s">
        <v>182</v>
      </c>
      <c r="J777" s="156">
        <v>771.0</v>
      </c>
      <c r="K777" s="157" t="s">
        <v>2486</v>
      </c>
      <c r="L777" s="153" t="s">
        <v>2487</v>
      </c>
      <c r="M777" s="153"/>
      <c r="N777" s="153"/>
      <c r="O777" s="153"/>
      <c r="P777" s="153"/>
      <c r="Q777" s="153"/>
      <c r="R777" s="153"/>
      <c r="S777" s="153"/>
      <c r="T777" s="153"/>
    </row>
    <row r="778">
      <c r="A778" s="152"/>
      <c r="B778" s="153"/>
      <c r="C778" s="152"/>
      <c r="D778" s="152"/>
      <c r="E778" s="154">
        <v>4436.0</v>
      </c>
      <c r="F778" s="152"/>
      <c r="G778" s="155"/>
      <c r="H778" s="153" t="s">
        <v>2488</v>
      </c>
      <c r="I778" s="153" t="s">
        <v>246</v>
      </c>
      <c r="J778" s="156">
        <v>772.0</v>
      </c>
      <c r="K778" s="157" t="s">
        <v>2489</v>
      </c>
      <c r="L778" s="153" t="s">
        <v>2490</v>
      </c>
      <c r="M778" s="153"/>
      <c r="N778" s="153"/>
      <c r="O778" s="153"/>
      <c r="P778" s="153"/>
      <c r="Q778" s="153"/>
      <c r="R778" s="153"/>
      <c r="S778" s="153"/>
      <c r="T778" s="153"/>
    </row>
    <row r="779">
      <c r="A779" s="152"/>
      <c r="B779" s="153"/>
      <c r="C779" s="152"/>
      <c r="D779" s="152"/>
      <c r="E779" s="154">
        <v>4441.0</v>
      </c>
      <c r="F779" s="152"/>
      <c r="G779" s="155"/>
      <c r="H779" s="153" t="s">
        <v>2491</v>
      </c>
      <c r="I779" s="153" t="s">
        <v>2492</v>
      </c>
      <c r="J779" s="156">
        <v>773.0</v>
      </c>
      <c r="K779" s="157" t="s">
        <v>2493</v>
      </c>
      <c r="L779" s="158" t="s">
        <v>2494</v>
      </c>
      <c r="M779" s="158"/>
      <c r="N779" s="158"/>
      <c r="O779" s="158"/>
      <c r="P779" s="158"/>
      <c r="Q779" s="158"/>
      <c r="R779" s="158"/>
      <c r="S779" s="158"/>
      <c r="T779" s="158"/>
    </row>
    <row r="780">
      <c r="A780" s="152"/>
      <c r="B780" s="153"/>
      <c r="C780" s="152"/>
      <c r="D780" s="152"/>
      <c r="E780" s="154">
        <v>4442.0</v>
      </c>
      <c r="F780" s="152"/>
      <c r="G780" s="155"/>
      <c r="H780" s="153" t="s">
        <v>2495</v>
      </c>
      <c r="I780" s="153" t="s">
        <v>182</v>
      </c>
      <c r="J780" s="156">
        <v>774.0</v>
      </c>
      <c r="K780" s="157" t="s">
        <v>2496</v>
      </c>
      <c r="L780" s="153" t="s">
        <v>2497</v>
      </c>
      <c r="M780" s="153"/>
      <c r="N780" s="153"/>
      <c r="O780" s="153"/>
      <c r="P780" s="153"/>
      <c r="Q780" s="153"/>
      <c r="R780" s="153"/>
      <c r="S780" s="153"/>
      <c r="T780" s="153"/>
    </row>
    <row r="781">
      <c r="A781" s="152"/>
      <c r="B781" s="153"/>
      <c r="C781" s="152"/>
      <c r="D781" s="152"/>
      <c r="E781" s="154">
        <v>4443.0</v>
      </c>
      <c r="F781" s="152"/>
      <c r="G781" s="155"/>
      <c r="H781" s="153" t="s">
        <v>2498</v>
      </c>
      <c r="I781" s="153" t="s">
        <v>230</v>
      </c>
      <c r="J781" s="156">
        <v>775.0</v>
      </c>
      <c r="K781" s="157" t="s">
        <v>2499</v>
      </c>
      <c r="L781" s="153" t="s">
        <v>2500</v>
      </c>
      <c r="M781" s="153"/>
      <c r="N781" s="153"/>
      <c r="O781" s="153"/>
      <c r="P781" s="153"/>
      <c r="Q781" s="153"/>
      <c r="R781" s="153"/>
      <c r="S781" s="153"/>
      <c r="T781" s="153"/>
    </row>
    <row r="782">
      <c r="A782" s="152"/>
      <c r="B782" s="153"/>
      <c r="C782" s="152"/>
      <c r="D782" s="152"/>
      <c r="E782" s="154">
        <v>4444.0</v>
      </c>
      <c r="F782" s="152"/>
      <c r="G782" s="155"/>
      <c r="H782" s="153" t="s">
        <v>2501</v>
      </c>
      <c r="I782" s="153" t="s">
        <v>2502</v>
      </c>
      <c r="J782" s="156">
        <v>776.0</v>
      </c>
      <c r="K782" s="157" t="s">
        <v>2503</v>
      </c>
      <c r="L782" s="153" t="s">
        <v>2504</v>
      </c>
      <c r="M782" s="153"/>
      <c r="N782" s="153"/>
      <c r="O782" s="153"/>
      <c r="P782" s="153"/>
      <c r="Q782" s="153"/>
      <c r="R782" s="153"/>
      <c r="S782" s="153"/>
      <c r="T782" s="153"/>
    </row>
    <row r="783">
      <c r="A783" s="152"/>
      <c r="B783" s="153"/>
      <c r="C783" s="152"/>
      <c r="D783" s="152"/>
      <c r="E783" s="154">
        <v>4445.0</v>
      </c>
      <c r="F783" s="152"/>
      <c r="G783" s="155"/>
      <c r="H783" s="153" t="s">
        <v>2505</v>
      </c>
      <c r="I783" s="153" t="s">
        <v>2502</v>
      </c>
      <c r="J783" s="156">
        <v>777.0</v>
      </c>
      <c r="K783" s="157" t="s">
        <v>2506</v>
      </c>
      <c r="L783" s="153" t="s">
        <v>2507</v>
      </c>
      <c r="M783" s="153"/>
      <c r="N783" s="153"/>
      <c r="O783" s="153"/>
      <c r="P783" s="153"/>
      <c r="Q783" s="153"/>
      <c r="R783" s="153"/>
      <c r="S783" s="153"/>
      <c r="T783" s="153"/>
    </row>
    <row r="784">
      <c r="A784" s="152"/>
      <c r="B784" s="153"/>
      <c r="C784" s="152"/>
      <c r="D784" s="152"/>
      <c r="E784" s="154">
        <v>4446.0</v>
      </c>
      <c r="F784" s="152"/>
      <c r="G784" s="155"/>
      <c r="H784" s="153" t="s">
        <v>2508</v>
      </c>
      <c r="I784" s="153" t="s">
        <v>230</v>
      </c>
      <c r="J784" s="156">
        <v>778.0</v>
      </c>
      <c r="K784" s="157" t="s">
        <v>2509</v>
      </c>
      <c r="L784" s="153" t="s">
        <v>2510</v>
      </c>
      <c r="M784" s="153"/>
      <c r="N784" s="153"/>
      <c r="O784" s="153"/>
      <c r="P784" s="153"/>
      <c r="Q784" s="153"/>
      <c r="R784" s="153"/>
      <c r="S784" s="153"/>
      <c r="T784" s="153"/>
    </row>
    <row r="785">
      <c r="A785" s="152"/>
      <c r="B785" s="153"/>
      <c r="C785" s="152"/>
      <c r="D785" s="152"/>
      <c r="E785" s="154">
        <v>4451.0</v>
      </c>
      <c r="F785" s="152"/>
      <c r="G785" s="155"/>
      <c r="H785" s="153" t="s">
        <v>2511</v>
      </c>
      <c r="I785" s="153" t="s">
        <v>230</v>
      </c>
      <c r="J785" s="156">
        <v>779.0</v>
      </c>
      <c r="K785" s="157" t="s">
        <v>2512</v>
      </c>
      <c r="L785" s="153" t="s">
        <v>2500</v>
      </c>
      <c r="M785" s="153"/>
      <c r="N785" s="153"/>
      <c r="O785" s="153"/>
      <c r="P785" s="153"/>
      <c r="Q785" s="153"/>
      <c r="R785" s="153"/>
      <c r="S785" s="153"/>
      <c r="T785" s="153"/>
    </row>
    <row r="786">
      <c r="A786" s="152"/>
      <c r="B786" s="153"/>
      <c r="C786" s="152"/>
      <c r="D786" s="152"/>
      <c r="E786" s="154">
        <v>4452.0</v>
      </c>
      <c r="F786" s="152"/>
      <c r="G786" s="155"/>
      <c r="H786" s="153" t="s">
        <v>2513</v>
      </c>
      <c r="I786" s="153" t="s">
        <v>230</v>
      </c>
      <c r="J786" s="156">
        <v>780.0</v>
      </c>
      <c r="K786" s="157" t="s">
        <v>2512</v>
      </c>
      <c r="L786" s="153" t="s">
        <v>2500</v>
      </c>
      <c r="M786" s="153"/>
      <c r="N786" s="153"/>
      <c r="O786" s="153"/>
      <c r="P786" s="153"/>
      <c r="Q786" s="153"/>
      <c r="R786" s="153"/>
      <c r="S786" s="153"/>
      <c r="T786" s="153"/>
    </row>
    <row r="787">
      <c r="A787" s="152"/>
      <c r="B787" s="153"/>
      <c r="C787" s="152"/>
      <c r="D787" s="152"/>
      <c r="E787" s="154">
        <v>4453.0</v>
      </c>
      <c r="F787" s="152"/>
      <c r="G787" s="155"/>
      <c r="H787" s="153" t="s">
        <v>2514</v>
      </c>
      <c r="I787" s="153" t="s">
        <v>2515</v>
      </c>
      <c r="J787" s="156">
        <v>781.0</v>
      </c>
      <c r="K787" s="157" t="s">
        <v>2516</v>
      </c>
      <c r="L787" s="153" t="s">
        <v>2517</v>
      </c>
      <c r="M787" s="153"/>
      <c r="N787" s="153"/>
      <c r="O787" s="153"/>
      <c r="P787" s="153"/>
      <c r="Q787" s="153"/>
      <c r="R787" s="153"/>
      <c r="S787" s="153"/>
      <c r="T787" s="153"/>
    </row>
    <row r="788">
      <c r="A788" s="152"/>
      <c r="B788" s="153"/>
      <c r="C788" s="152"/>
      <c r="D788" s="152"/>
      <c r="E788" s="154">
        <v>4454.0</v>
      </c>
      <c r="F788" s="152"/>
      <c r="G788" s="155"/>
      <c r="H788" s="153" t="s">
        <v>2518</v>
      </c>
      <c r="I788" s="153" t="s">
        <v>1604</v>
      </c>
      <c r="J788" s="156">
        <v>782.0</v>
      </c>
      <c r="K788" s="157" t="s">
        <v>2519</v>
      </c>
      <c r="L788" s="153" t="s">
        <v>2520</v>
      </c>
      <c r="M788" s="153"/>
      <c r="N788" s="153"/>
      <c r="O788" s="153"/>
      <c r="P788" s="153"/>
      <c r="Q788" s="153"/>
      <c r="R788" s="153"/>
      <c r="S788" s="153"/>
      <c r="T788" s="153"/>
    </row>
    <row r="789">
      <c r="A789" s="152"/>
      <c r="B789" s="153"/>
      <c r="C789" s="152"/>
      <c r="D789" s="152"/>
      <c r="E789" s="154">
        <v>4455.0</v>
      </c>
      <c r="F789" s="152"/>
      <c r="G789" s="155"/>
      <c r="H789" s="153" t="s">
        <v>2521</v>
      </c>
      <c r="I789" s="153" t="s">
        <v>230</v>
      </c>
      <c r="J789" s="156">
        <v>783.0</v>
      </c>
      <c r="K789" s="157" t="s">
        <v>2522</v>
      </c>
      <c r="L789" s="153" t="s">
        <v>2523</v>
      </c>
      <c r="M789" s="153"/>
      <c r="N789" s="153"/>
      <c r="O789" s="153"/>
      <c r="P789" s="153"/>
      <c r="Q789" s="153"/>
      <c r="R789" s="153"/>
      <c r="S789" s="153"/>
      <c r="T789" s="153"/>
    </row>
    <row r="790">
      <c r="A790" s="152"/>
      <c r="B790" s="153"/>
      <c r="C790" s="152"/>
      <c r="D790" s="152"/>
      <c r="E790" s="154">
        <v>4456.0</v>
      </c>
      <c r="F790" s="152"/>
      <c r="G790" s="155"/>
      <c r="H790" s="153" t="s">
        <v>2524</v>
      </c>
      <c r="I790" s="153" t="s">
        <v>2525</v>
      </c>
      <c r="J790" s="156">
        <v>784.0</v>
      </c>
      <c r="K790" s="157" t="s">
        <v>2526</v>
      </c>
      <c r="L790" s="153" t="s">
        <v>2527</v>
      </c>
      <c r="M790" s="153"/>
      <c r="N790" s="153"/>
      <c r="O790" s="153"/>
      <c r="P790" s="153"/>
      <c r="Q790" s="153"/>
      <c r="R790" s="153"/>
      <c r="S790" s="153"/>
      <c r="T790" s="153"/>
    </row>
    <row r="791">
      <c r="A791" s="152"/>
      <c r="B791" s="153"/>
      <c r="C791" s="152"/>
      <c r="D791" s="152"/>
      <c r="E791" s="154">
        <v>4461.0</v>
      </c>
      <c r="F791" s="152"/>
      <c r="G791" s="155"/>
      <c r="H791" s="153" t="s">
        <v>2528</v>
      </c>
      <c r="I791" s="153" t="s">
        <v>230</v>
      </c>
      <c r="J791" s="156">
        <v>785.0</v>
      </c>
      <c r="K791" s="157" t="s">
        <v>2529</v>
      </c>
      <c r="L791" s="153" t="s">
        <v>2530</v>
      </c>
      <c r="M791" s="153"/>
      <c r="N791" s="153"/>
      <c r="O791" s="153"/>
      <c r="P791" s="153"/>
      <c r="Q791" s="153"/>
      <c r="R791" s="153"/>
      <c r="S791" s="153"/>
      <c r="T791" s="153"/>
    </row>
    <row r="792">
      <c r="A792" s="152"/>
      <c r="B792" s="153"/>
      <c r="C792" s="152"/>
      <c r="D792" s="152"/>
      <c r="E792" s="154">
        <v>4462.0</v>
      </c>
      <c r="F792" s="152"/>
      <c r="G792" s="155"/>
      <c r="H792" s="153" t="s">
        <v>2531</v>
      </c>
      <c r="I792" s="153" t="s">
        <v>434</v>
      </c>
      <c r="J792" s="156">
        <v>786.0</v>
      </c>
      <c r="K792" s="157" t="s">
        <v>2532</v>
      </c>
      <c r="L792" s="158" t="s">
        <v>2533</v>
      </c>
      <c r="M792" s="158"/>
      <c r="N792" s="158"/>
      <c r="O792" s="158"/>
      <c r="P792" s="158"/>
      <c r="Q792" s="158"/>
      <c r="R792" s="158"/>
      <c r="S792" s="158"/>
      <c r="T792" s="158"/>
    </row>
    <row r="793">
      <c r="A793" s="152"/>
      <c r="B793" s="153"/>
      <c r="C793" s="152"/>
      <c r="D793" s="152"/>
      <c r="E793" s="154">
        <v>4463.0</v>
      </c>
      <c r="F793" s="152"/>
      <c r="G793" s="155"/>
      <c r="H793" s="153" t="s">
        <v>2534</v>
      </c>
      <c r="I793" s="153" t="s">
        <v>246</v>
      </c>
      <c r="J793" s="156">
        <v>787.0</v>
      </c>
      <c r="K793" s="157" t="s">
        <v>2535</v>
      </c>
      <c r="L793" s="153" t="s">
        <v>2536</v>
      </c>
      <c r="M793" s="153"/>
      <c r="N793" s="153"/>
      <c r="O793" s="153"/>
      <c r="P793" s="153"/>
      <c r="Q793" s="153"/>
      <c r="R793" s="153"/>
      <c r="S793" s="153"/>
      <c r="T793" s="153"/>
    </row>
    <row r="794">
      <c r="A794" s="152"/>
      <c r="B794" s="153"/>
      <c r="C794" s="152"/>
      <c r="D794" s="152"/>
      <c r="E794" s="154">
        <v>4464.0</v>
      </c>
      <c r="F794" s="152"/>
      <c r="G794" s="155"/>
      <c r="H794" s="153" t="s">
        <v>2537</v>
      </c>
      <c r="I794" s="153" t="s">
        <v>2515</v>
      </c>
      <c r="J794" s="156">
        <v>788.0</v>
      </c>
      <c r="K794" s="157" t="s">
        <v>2538</v>
      </c>
      <c r="L794" s="153" t="s">
        <v>2539</v>
      </c>
      <c r="M794" s="153"/>
      <c r="N794" s="153"/>
      <c r="O794" s="153"/>
      <c r="P794" s="153"/>
      <c r="Q794" s="153"/>
      <c r="R794" s="153"/>
      <c r="S794" s="153"/>
      <c r="T794" s="153"/>
    </row>
    <row r="795">
      <c r="A795" s="152"/>
      <c r="B795" s="153"/>
      <c r="C795" s="152"/>
      <c r="D795" s="152"/>
      <c r="E795" s="154">
        <v>4465.0</v>
      </c>
      <c r="F795" s="152"/>
      <c r="G795" s="155"/>
      <c r="H795" s="153" t="s">
        <v>2540</v>
      </c>
      <c r="I795" s="153" t="s">
        <v>246</v>
      </c>
      <c r="J795" s="156">
        <v>789.0</v>
      </c>
      <c r="K795" s="157" t="s">
        <v>2541</v>
      </c>
      <c r="L795" s="153" t="s">
        <v>2542</v>
      </c>
      <c r="M795" s="153"/>
      <c r="N795" s="153"/>
      <c r="O795" s="153"/>
      <c r="P795" s="153"/>
      <c r="Q795" s="153"/>
      <c r="R795" s="153"/>
      <c r="S795" s="153"/>
      <c r="T795" s="153"/>
    </row>
    <row r="796">
      <c r="A796" s="152"/>
      <c r="B796" s="153"/>
      <c r="C796" s="152"/>
      <c r="D796" s="152"/>
      <c r="E796" s="154">
        <v>4466.0</v>
      </c>
      <c r="F796" s="152"/>
      <c r="G796" s="155"/>
      <c r="H796" s="153" t="s">
        <v>2543</v>
      </c>
      <c r="I796" s="153" t="s">
        <v>246</v>
      </c>
      <c r="J796" s="156">
        <v>790.0</v>
      </c>
      <c r="K796" s="157" t="s">
        <v>2544</v>
      </c>
      <c r="L796" s="158" t="s">
        <v>2545</v>
      </c>
      <c r="M796" s="158"/>
      <c r="N796" s="158"/>
      <c r="O796" s="158"/>
      <c r="P796" s="158"/>
      <c r="Q796" s="158"/>
      <c r="R796" s="158"/>
      <c r="S796" s="158"/>
      <c r="T796" s="158"/>
    </row>
    <row r="797">
      <c r="A797" s="152"/>
      <c r="B797" s="153"/>
      <c r="C797" s="152"/>
      <c r="D797" s="152"/>
      <c r="E797" s="154">
        <v>4511.0</v>
      </c>
      <c r="F797" s="152"/>
      <c r="G797" s="155"/>
      <c r="H797" s="153" t="s">
        <v>2546</v>
      </c>
      <c r="I797" s="153" t="s">
        <v>246</v>
      </c>
      <c r="J797" s="156">
        <v>791.0</v>
      </c>
      <c r="K797" s="157" t="s">
        <v>2547</v>
      </c>
      <c r="L797" s="153" t="s">
        <v>2548</v>
      </c>
      <c r="M797" s="153"/>
      <c r="N797" s="153"/>
      <c r="O797" s="153"/>
      <c r="P797" s="153"/>
      <c r="Q797" s="153"/>
      <c r="R797" s="153"/>
      <c r="S797" s="153"/>
      <c r="T797" s="153"/>
    </row>
    <row r="798">
      <c r="A798" s="152"/>
      <c r="B798" s="153"/>
      <c r="C798" s="152"/>
      <c r="D798" s="152"/>
      <c r="E798" s="154">
        <v>4512.0</v>
      </c>
      <c r="F798" s="152"/>
      <c r="G798" s="155"/>
      <c r="H798" s="153" t="s">
        <v>2549</v>
      </c>
      <c r="I798" s="153" t="s">
        <v>230</v>
      </c>
      <c r="J798" s="156">
        <v>792.0</v>
      </c>
      <c r="K798" s="157" t="s">
        <v>2550</v>
      </c>
      <c r="L798" s="153" t="s">
        <v>2551</v>
      </c>
      <c r="M798" s="153"/>
      <c r="N798" s="153"/>
      <c r="O798" s="153"/>
      <c r="P798" s="153"/>
      <c r="Q798" s="153"/>
      <c r="R798" s="153"/>
      <c r="S798" s="153"/>
      <c r="T798" s="153"/>
    </row>
    <row r="799">
      <c r="A799" s="152"/>
      <c r="B799" s="153"/>
      <c r="C799" s="152"/>
      <c r="D799" s="152"/>
      <c r="E799" s="154">
        <v>4513.0</v>
      </c>
      <c r="F799" s="152"/>
      <c r="G799" s="155"/>
      <c r="H799" s="153" t="s">
        <v>2552</v>
      </c>
      <c r="I799" s="153" t="s">
        <v>1604</v>
      </c>
      <c r="J799" s="156">
        <v>793.0</v>
      </c>
      <c r="K799" s="157" t="s">
        <v>2553</v>
      </c>
      <c r="L799" s="158" t="s">
        <v>2554</v>
      </c>
      <c r="M799" s="158"/>
      <c r="N799" s="158"/>
      <c r="O799" s="158"/>
      <c r="P799" s="158"/>
      <c r="Q799" s="158"/>
      <c r="R799" s="158"/>
      <c r="S799" s="158"/>
      <c r="T799" s="158"/>
    </row>
    <row r="800">
      <c r="A800" s="152"/>
      <c r="B800" s="153"/>
      <c r="C800" s="152"/>
      <c r="D800" s="152"/>
      <c r="E800" s="154">
        <v>4514.0</v>
      </c>
      <c r="F800" s="152"/>
      <c r="G800" s="155"/>
      <c r="H800" s="153" t="s">
        <v>2555</v>
      </c>
      <c r="I800" s="153" t="s">
        <v>167</v>
      </c>
      <c r="J800" s="156">
        <v>794.0</v>
      </c>
      <c r="K800" s="157" t="s">
        <v>2556</v>
      </c>
      <c r="L800" s="158" t="s">
        <v>2557</v>
      </c>
      <c r="M800" s="158"/>
      <c r="N800" s="158"/>
      <c r="O800" s="158"/>
      <c r="P800" s="158"/>
      <c r="Q800" s="158"/>
      <c r="R800" s="158"/>
      <c r="S800" s="158"/>
      <c r="T800" s="158"/>
    </row>
    <row r="801">
      <c r="A801" s="152"/>
      <c r="B801" s="153"/>
      <c r="C801" s="152"/>
      <c r="D801" s="152"/>
      <c r="E801" s="154">
        <v>4515.0</v>
      </c>
      <c r="F801" s="152"/>
      <c r="G801" s="155"/>
      <c r="H801" s="153" t="s">
        <v>2558</v>
      </c>
      <c r="I801" s="153" t="s">
        <v>230</v>
      </c>
      <c r="J801" s="156">
        <v>795.0</v>
      </c>
      <c r="K801" s="157" t="s">
        <v>2559</v>
      </c>
      <c r="L801" s="153" t="s">
        <v>2551</v>
      </c>
      <c r="M801" s="153"/>
      <c r="N801" s="153"/>
      <c r="O801" s="153"/>
      <c r="P801" s="153"/>
      <c r="Q801" s="153"/>
      <c r="R801" s="153"/>
      <c r="S801" s="153"/>
      <c r="T801" s="153"/>
    </row>
    <row r="802">
      <c r="A802" s="152"/>
      <c r="B802" s="153"/>
      <c r="C802" s="152"/>
      <c r="D802" s="152"/>
      <c r="E802" s="154">
        <v>4516.0</v>
      </c>
      <c r="F802" s="152"/>
      <c r="G802" s="155"/>
      <c r="H802" s="153" t="s">
        <v>2560</v>
      </c>
      <c r="I802" s="153" t="s">
        <v>824</v>
      </c>
      <c r="J802" s="156">
        <v>796.0</v>
      </c>
      <c r="K802" s="157" t="s">
        <v>2561</v>
      </c>
      <c r="L802" s="158" t="s">
        <v>2562</v>
      </c>
      <c r="M802" s="158"/>
      <c r="N802" s="158"/>
      <c r="O802" s="158"/>
      <c r="P802" s="158"/>
      <c r="Q802" s="158"/>
      <c r="R802" s="158"/>
      <c r="S802" s="158"/>
      <c r="T802" s="158"/>
    </row>
    <row r="803">
      <c r="A803" s="152"/>
      <c r="B803" s="153"/>
      <c r="C803" s="152"/>
      <c r="D803" s="152"/>
      <c r="E803" s="154">
        <v>4521.0</v>
      </c>
      <c r="F803" s="152"/>
      <c r="G803" s="155"/>
      <c r="H803" s="153" t="s">
        <v>2563</v>
      </c>
      <c r="I803" s="153" t="s">
        <v>2130</v>
      </c>
      <c r="J803" s="156">
        <v>797.0</v>
      </c>
      <c r="K803" s="157" t="s">
        <v>2564</v>
      </c>
      <c r="L803" s="158" t="s">
        <v>2565</v>
      </c>
      <c r="M803" s="158"/>
      <c r="N803" s="158"/>
      <c r="O803" s="158"/>
      <c r="P803" s="158"/>
      <c r="Q803" s="158"/>
      <c r="R803" s="158"/>
      <c r="S803" s="158"/>
      <c r="T803" s="158"/>
    </row>
    <row r="804">
      <c r="A804" s="152"/>
      <c r="B804" s="153"/>
      <c r="C804" s="152"/>
      <c r="D804" s="152"/>
      <c r="E804" s="154">
        <v>4522.0</v>
      </c>
      <c r="F804" s="152"/>
      <c r="G804" s="155"/>
      <c r="H804" s="153" t="s">
        <v>2566</v>
      </c>
      <c r="I804" s="153" t="s">
        <v>2567</v>
      </c>
      <c r="J804" s="156">
        <v>798.0</v>
      </c>
      <c r="K804" s="157" t="s">
        <v>2568</v>
      </c>
      <c r="L804" s="153" t="s">
        <v>2569</v>
      </c>
      <c r="M804" s="153"/>
      <c r="N804" s="153"/>
      <c r="O804" s="153"/>
      <c r="P804" s="153"/>
      <c r="Q804" s="153"/>
      <c r="R804" s="153"/>
      <c r="S804" s="153"/>
      <c r="T804" s="153"/>
    </row>
    <row r="805">
      <c r="A805" s="152"/>
      <c r="B805" s="153"/>
      <c r="C805" s="152"/>
      <c r="D805" s="152"/>
      <c r="E805" s="154">
        <v>4523.0</v>
      </c>
      <c r="F805" s="152"/>
      <c r="G805" s="155"/>
      <c r="H805" s="153" t="s">
        <v>2570</v>
      </c>
      <c r="I805" s="153" t="s">
        <v>230</v>
      </c>
      <c r="J805" s="156">
        <v>799.0</v>
      </c>
      <c r="K805" s="157" t="s">
        <v>2571</v>
      </c>
      <c r="L805" s="153" t="s">
        <v>2572</v>
      </c>
      <c r="M805" s="153"/>
      <c r="N805" s="153"/>
      <c r="O805" s="153"/>
      <c r="P805" s="153"/>
      <c r="Q805" s="153"/>
      <c r="R805" s="153"/>
      <c r="S805" s="153"/>
      <c r="T805" s="153"/>
    </row>
    <row r="806">
      <c r="A806" s="152"/>
      <c r="B806" s="153"/>
      <c r="C806" s="152"/>
      <c r="D806" s="152"/>
      <c r="E806" s="154">
        <v>4524.0</v>
      </c>
      <c r="F806" s="152"/>
      <c r="G806" s="155"/>
      <c r="H806" s="153" t="s">
        <v>2573</v>
      </c>
      <c r="I806" s="153" t="s">
        <v>2310</v>
      </c>
      <c r="J806" s="156">
        <v>800.0</v>
      </c>
      <c r="K806" s="157" t="s">
        <v>2574</v>
      </c>
      <c r="L806" s="153" t="s">
        <v>2575</v>
      </c>
      <c r="M806" s="153"/>
      <c r="N806" s="153"/>
      <c r="O806" s="153"/>
      <c r="P806" s="153"/>
      <c r="Q806" s="153"/>
      <c r="R806" s="153"/>
      <c r="S806" s="153"/>
      <c r="T806" s="153"/>
    </row>
    <row r="807">
      <c r="A807" s="152"/>
      <c r="B807" s="153"/>
      <c r="C807" s="152"/>
      <c r="D807" s="152"/>
      <c r="E807" s="154">
        <v>4525.0</v>
      </c>
      <c r="F807" s="152"/>
      <c r="G807" s="155"/>
      <c r="H807" s="153" t="s">
        <v>2576</v>
      </c>
      <c r="I807" s="153" t="s">
        <v>230</v>
      </c>
      <c r="J807" s="156">
        <v>801.0</v>
      </c>
      <c r="K807" s="157" t="s">
        <v>2577</v>
      </c>
      <c r="L807" s="158" t="s">
        <v>2578</v>
      </c>
      <c r="M807" s="158"/>
      <c r="N807" s="158"/>
      <c r="O807" s="158"/>
      <c r="P807" s="158"/>
      <c r="Q807" s="158"/>
      <c r="R807" s="158"/>
      <c r="S807" s="158"/>
      <c r="T807" s="158"/>
    </row>
    <row r="808">
      <c r="A808" s="152"/>
      <c r="B808" s="153"/>
      <c r="C808" s="152"/>
      <c r="D808" s="152"/>
      <c r="E808" s="154">
        <v>4526.0</v>
      </c>
      <c r="F808" s="152"/>
      <c r="G808" s="155"/>
      <c r="H808" s="153" t="s">
        <v>2579</v>
      </c>
      <c r="I808" s="153" t="s">
        <v>2515</v>
      </c>
      <c r="J808" s="156">
        <v>802.0</v>
      </c>
      <c r="K808" s="157" t="s">
        <v>2580</v>
      </c>
      <c r="L808" s="153" t="s">
        <v>2581</v>
      </c>
      <c r="M808" s="153"/>
      <c r="N808" s="153"/>
      <c r="O808" s="153"/>
      <c r="P808" s="153"/>
      <c r="Q808" s="153"/>
      <c r="R808" s="153"/>
      <c r="S808" s="153"/>
      <c r="T808" s="153"/>
    </row>
    <row r="809">
      <c r="A809" s="152"/>
      <c r="B809" s="153"/>
      <c r="C809" s="152"/>
      <c r="D809" s="152"/>
      <c r="E809" s="154">
        <v>4531.0</v>
      </c>
      <c r="F809" s="152"/>
      <c r="G809" s="155"/>
      <c r="H809" s="153" t="s">
        <v>2582</v>
      </c>
      <c r="I809" s="153" t="s">
        <v>167</v>
      </c>
      <c r="J809" s="156">
        <v>803.0</v>
      </c>
      <c r="K809" s="157" t="s">
        <v>2583</v>
      </c>
      <c r="L809" s="153" t="s">
        <v>2584</v>
      </c>
      <c r="M809" s="153"/>
      <c r="N809" s="153"/>
      <c r="O809" s="153"/>
      <c r="P809" s="153"/>
      <c r="Q809" s="153"/>
      <c r="R809" s="153"/>
      <c r="S809" s="153"/>
      <c r="T809" s="153"/>
    </row>
    <row r="810">
      <c r="A810" s="152"/>
      <c r="B810" s="153"/>
      <c r="C810" s="152"/>
      <c r="D810" s="152"/>
      <c r="E810" s="154">
        <v>4532.0</v>
      </c>
      <c r="F810" s="152"/>
      <c r="G810" s="155"/>
      <c r="H810" s="153" t="s">
        <v>2585</v>
      </c>
      <c r="I810" s="153" t="s">
        <v>2449</v>
      </c>
      <c r="J810" s="156">
        <v>804.0</v>
      </c>
      <c r="K810" s="157" t="s">
        <v>2586</v>
      </c>
      <c r="L810" s="153" t="s">
        <v>2587</v>
      </c>
      <c r="M810" s="153"/>
      <c r="N810" s="153"/>
      <c r="O810" s="153"/>
      <c r="P810" s="153"/>
      <c r="Q810" s="153"/>
      <c r="R810" s="153"/>
      <c r="S810" s="153"/>
      <c r="T810" s="153"/>
    </row>
    <row r="811">
      <c r="A811" s="152"/>
      <c r="B811" s="153"/>
      <c r="C811" s="152"/>
      <c r="D811" s="152"/>
      <c r="E811" s="154">
        <v>4533.0</v>
      </c>
      <c r="F811" s="152"/>
      <c r="G811" s="155"/>
      <c r="H811" s="153" t="s">
        <v>2588</v>
      </c>
      <c r="I811" s="153" t="s">
        <v>2449</v>
      </c>
      <c r="J811" s="156">
        <v>805.0</v>
      </c>
      <c r="K811" s="157" t="s">
        <v>2589</v>
      </c>
      <c r="L811" s="158" t="s">
        <v>2590</v>
      </c>
      <c r="M811" s="158"/>
      <c r="N811" s="158"/>
      <c r="O811" s="158"/>
      <c r="P811" s="158"/>
      <c r="Q811" s="158"/>
      <c r="R811" s="158"/>
      <c r="S811" s="158"/>
      <c r="T811" s="158"/>
    </row>
    <row r="812">
      <c r="A812" s="152"/>
      <c r="B812" s="153"/>
      <c r="C812" s="152"/>
      <c r="D812" s="152"/>
      <c r="E812" s="154">
        <v>4534.0</v>
      </c>
      <c r="F812" s="152"/>
      <c r="G812" s="155"/>
      <c r="H812" s="153" t="s">
        <v>2591</v>
      </c>
      <c r="I812" s="153" t="s">
        <v>2130</v>
      </c>
      <c r="J812" s="156">
        <v>806.0</v>
      </c>
      <c r="K812" s="157" t="s">
        <v>2592</v>
      </c>
      <c r="L812" s="158" t="s">
        <v>2593</v>
      </c>
      <c r="M812" s="158"/>
      <c r="N812" s="158"/>
      <c r="O812" s="158"/>
      <c r="P812" s="158"/>
      <c r="Q812" s="158"/>
      <c r="R812" s="158"/>
      <c r="S812" s="158"/>
      <c r="T812" s="158"/>
    </row>
    <row r="813">
      <c r="A813" s="152"/>
      <c r="B813" s="153"/>
      <c r="C813" s="152"/>
      <c r="D813" s="152"/>
      <c r="E813" s="154">
        <v>4535.0</v>
      </c>
      <c r="F813" s="152"/>
      <c r="G813" s="155"/>
      <c r="H813" s="153" t="s">
        <v>2594</v>
      </c>
      <c r="I813" s="153" t="s">
        <v>2595</v>
      </c>
      <c r="J813" s="156">
        <v>807.0</v>
      </c>
      <c r="K813" s="157" t="s">
        <v>2596</v>
      </c>
      <c r="L813" s="153" t="s">
        <v>2597</v>
      </c>
      <c r="M813" s="153"/>
      <c r="N813" s="153"/>
      <c r="O813" s="153"/>
      <c r="P813" s="153"/>
      <c r="Q813" s="153"/>
      <c r="R813" s="153"/>
      <c r="S813" s="153"/>
      <c r="T813" s="153"/>
    </row>
    <row r="814">
      <c r="A814" s="152"/>
      <c r="B814" s="153"/>
      <c r="C814" s="152"/>
      <c r="D814" s="152"/>
      <c r="E814" s="154">
        <v>4536.0</v>
      </c>
      <c r="F814" s="152"/>
      <c r="G814" s="155"/>
      <c r="H814" s="153" t="s">
        <v>2598</v>
      </c>
      <c r="I814" s="153" t="s">
        <v>2595</v>
      </c>
      <c r="J814" s="156">
        <v>808.0</v>
      </c>
      <c r="K814" s="157" t="s">
        <v>2599</v>
      </c>
      <c r="L814" s="153" t="s">
        <v>2600</v>
      </c>
      <c r="M814" s="153"/>
      <c r="N814" s="153"/>
      <c r="O814" s="153"/>
      <c r="P814" s="153"/>
      <c r="Q814" s="153"/>
      <c r="R814" s="153"/>
      <c r="S814" s="153"/>
      <c r="T814" s="153"/>
    </row>
    <row r="815">
      <c r="A815" s="152"/>
      <c r="B815" s="153"/>
      <c r="C815" s="152"/>
      <c r="D815" s="152"/>
      <c r="E815" s="154">
        <v>4541.0</v>
      </c>
      <c r="F815" s="152"/>
      <c r="G815" s="155"/>
      <c r="H815" s="153" t="s">
        <v>2601</v>
      </c>
      <c r="I815" s="153" t="s">
        <v>2449</v>
      </c>
      <c r="J815" s="156">
        <v>809.0</v>
      </c>
      <c r="K815" s="157" t="s">
        <v>2602</v>
      </c>
      <c r="L815" s="153" t="s">
        <v>2603</v>
      </c>
      <c r="M815" s="153"/>
      <c r="N815" s="153"/>
      <c r="O815" s="153"/>
      <c r="P815" s="153"/>
      <c r="Q815" s="153"/>
      <c r="R815" s="153"/>
      <c r="S815" s="153"/>
      <c r="T815" s="153"/>
    </row>
    <row r="816">
      <c r="A816" s="152"/>
      <c r="B816" s="153"/>
      <c r="C816" s="152"/>
      <c r="D816" s="152"/>
      <c r="E816" s="154">
        <v>4542.0</v>
      </c>
      <c r="F816" s="152"/>
      <c r="G816" s="155"/>
      <c r="H816" s="153" t="s">
        <v>2604</v>
      </c>
      <c r="I816" s="153" t="s">
        <v>2449</v>
      </c>
      <c r="J816" s="156">
        <v>810.0</v>
      </c>
      <c r="K816" s="157" t="s">
        <v>2605</v>
      </c>
      <c r="L816" s="158" t="s">
        <v>2606</v>
      </c>
      <c r="M816" s="158"/>
      <c r="N816" s="158"/>
      <c r="O816" s="158"/>
      <c r="P816" s="158"/>
      <c r="Q816" s="158"/>
      <c r="R816" s="158"/>
      <c r="S816" s="158"/>
      <c r="T816" s="158"/>
    </row>
    <row r="817">
      <c r="A817" s="152"/>
      <c r="B817" s="153"/>
      <c r="C817" s="152"/>
      <c r="D817" s="152"/>
      <c r="E817" s="154">
        <v>4543.0</v>
      </c>
      <c r="F817" s="152"/>
      <c r="G817" s="155"/>
      <c r="H817" s="153" t="s">
        <v>2607</v>
      </c>
      <c r="I817" s="153" t="s">
        <v>2168</v>
      </c>
      <c r="J817" s="156">
        <v>811.0</v>
      </c>
      <c r="K817" s="157" t="s">
        <v>2608</v>
      </c>
      <c r="L817" s="158" t="s">
        <v>2609</v>
      </c>
      <c r="M817" s="158"/>
      <c r="N817" s="158"/>
      <c r="O817" s="158"/>
      <c r="P817" s="158"/>
      <c r="Q817" s="158"/>
      <c r="R817" s="158"/>
      <c r="S817" s="158"/>
      <c r="T817" s="158"/>
    </row>
    <row r="818">
      <c r="A818" s="152"/>
      <c r="B818" s="153"/>
      <c r="C818" s="152"/>
      <c r="D818" s="152"/>
      <c r="E818" s="154">
        <v>4544.0</v>
      </c>
      <c r="F818" s="152"/>
      <c r="G818" s="155"/>
      <c r="H818" s="153" t="s">
        <v>2610</v>
      </c>
      <c r="I818" s="153" t="s">
        <v>2396</v>
      </c>
      <c r="J818" s="156">
        <v>812.0</v>
      </c>
      <c r="K818" s="157" t="s">
        <v>2611</v>
      </c>
      <c r="L818" s="153" t="s">
        <v>2612</v>
      </c>
      <c r="M818" s="153"/>
      <c r="N818" s="153"/>
      <c r="O818" s="153"/>
      <c r="P818" s="153"/>
      <c r="Q818" s="153"/>
      <c r="R818" s="153"/>
      <c r="S818" s="153"/>
      <c r="T818" s="153"/>
    </row>
    <row r="819">
      <c r="A819" s="152"/>
      <c r="B819" s="153"/>
      <c r="C819" s="152"/>
      <c r="D819" s="152"/>
      <c r="E819" s="154">
        <v>4545.0</v>
      </c>
      <c r="F819" s="152"/>
      <c r="G819" s="155"/>
      <c r="H819" s="153" t="s">
        <v>2613</v>
      </c>
      <c r="I819" s="153" t="s">
        <v>2130</v>
      </c>
      <c r="J819" s="156">
        <v>813.0</v>
      </c>
      <c r="K819" s="157" t="s">
        <v>2614</v>
      </c>
      <c r="L819" s="153" t="s">
        <v>2615</v>
      </c>
      <c r="M819" s="153"/>
      <c r="N819" s="153"/>
      <c r="O819" s="153"/>
      <c r="P819" s="153"/>
      <c r="Q819" s="153"/>
      <c r="R819" s="153"/>
      <c r="S819" s="153"/>
      <c r="T819" s="153"/>
    </row>
    <row r="820">
      <c r="A820" s="152"/>
      <c r="B820" s="153"/>
      <c r="C820" s="152"/>
      <c r="D820" s="152"/>
      <c r="E820" s="154">
        <v>4546.0</v>
      </c>
      <c r="F820" s="152"/>
      <c r="G820" s="155"/>
      <c r="H820" s="153" t="s">
        <v>2616</v>
      </c>
      <c r="I820" s="153" t="s">
        <v>2396</v>
      </c>
      <c r="J820" s="156">
        <v>814.0</v>
      </c>
      <c r="K820" s="157" t="s">
        <v>2617</v>
      </c>
      <c r="L820" s="153" t="s">
        <v>2618</v>
      </c>
      <c r="M820" s="153"/>
      <c r="N820" s="153"/>
      <c r="O820" s="153"/>
      <c r="P820" s="153"/>
      <c r="Q820" s="153"/>
      <c r="R820" s="153"/>
      <c r="S820" s="153"/>
      <c r="T820" s="153"/>
    </row>
    <row r="821">
      <c r="A821" s="152"/>
      <c r="B821" s="153"/>
      <c r="C821" s="152"/>
      <c r="D821" s="152"/>
      <c r="E821" s="154">
        <v>4551.0</v>
      </c>
      <c r="F821" s="152"/>
      <c r="G821" s="155"/>
      <c r="H821" s="153" t="s">
        <v>2619</v>
      </c>
      <c r="I821" s="153" t="s">
        <v>230</v>
      </c>
      <c r="J821" s="156">
        <v>815.0</v>
      </c>
      <c r="K821" s="157" t="s">
        <v>2620</v>
      </c>
      <c r="L821" s="153" t="s">
        <v>2621</v>
      </c>
      <c r="M821" s="153"/>
      <c r="N821" s="153"/>
      <c r="O821" s="153"/>
      <c r="P821" s="153"/>
      <c r="Q821" s="153"/>
      <c r="R821" s="153"/>
      <c r="S821" s="153"/>
      <c r="T821" s="153"/>
    </row>
    <row r="822">
      <c r="A822" s="152"/>
      <c r="B822" s="153"/>
      <c r="C822" s="152"/>
      <c r="D822" s="152"/>
      <c r="E822" s="154">
        <v>4552.0</v>
      </c>
      <c r="F822" s="152"/>
      <c r="G822" s="155"/>
      <c r="H822" s="153" t="s">
        <v>2622</v>
      </c>
      <c r="I822" s="153" t="s">
        <v>246</v>
      </c>
      <c r="J822" s="156">
        <v>816.0</v>
      </c>
      <c r="K822" s="168" t="s">
        <v>2623</v>
      </c>
      <c r="L822" s="158" t="s">
        <v>2624</v>
      </c>
      <c r="M822" s="158"/>
      <c r="N822" s="158"/>
      <c r="O822" s="158"/>
      <c r="P822" s="158"/>
      <c r="Q822" s="158"/>
      <c r="R822" s="158"/>
      <c r="S822" s="158"/>
      <c r="T822" s="158"/>
    </row>
    <row r="823">
      <c r="A823" s="152"/>
      <c r="B823" s="153"/>
      <c r="C823" s="152"/>
      <c r="D823" s="152"/>
      <c r="E823" s="154">
        <v>4553.0</v>
      </c>
      <c r="F823" s="152"/>
      <c r="G823" s="155"/>
      <c r="H823" s="153" t="s">
        <v>2625</v>
      </c>
      <c r="I823" s="153" t="s">
        <v>434</v>
      </c>
      <c r="J823" s="156">
        <v>817.0</v>
      </c>
      <c r="K823" s="157" t="s">
        <v>2626</v>
      </c>
      <c r="L823" s="158" t="s">
        <v>2627</v>
      </c>
      <c r="M823" s="158"/>
      <c r="N823" s="158"/>
      <c r="O823" s="158"/>
      <c r="P823" s="158"/>
      <c r="Q823" s="158"/>
      <c r="R823" s="158"/>
      <c r="S823" s="158"/>
      <c r="T823" s="158"/>
    </row>
    <row r="824">
      <c r="A824" s="152"/>
      <c r="B824" s="153"/>
      <c r="C824" s="152"/>
      <c r="D824" s="152"/>
      <c r="E824" s="154">
        <v>4554.0</v>
      </c>
      <c r="F824" s="152"/>
      <c r="G824" s="155"/>
      <c r="H824" s="153" t="s">
        <v>2628</v>
      </c>
      <c r="I824" s="153" t="s">
        <v>608</v>
      </c>
      <c r="J824" s="156">
        <v>818.0</v>
      </c>
      <c r="K824" s="157" t="s">
        <v>2629</v>
      </c>
      <c r="L824" s="158" t="s">
        <v>2630</v>
      </c>
      <c r="M824" s="158"/>
      <c r="N824" s="158"/>
      <c r="O824" s="158"/>
      <c r="P824" s="158"/>
      <c r="Q824" s="158"/>
      <c r="R824" s="158"/>
      <c r="S824" s="158"/>
      <c r="T824" s="158"/>
    </row>
    <row r="825">
      <c r="A825" s="152"/>
      <c r="B825" s="153"/>
      <c r="C825" s="152"/>
      <c r="D825" s="152"/>
      <c r="E825" s="154">
        <v>4555.0</v>
      </c>
      <c r="F825" s="152"/>
      <c r="G825" s="155"/>
      <c r="H825" s="153" t="s">
        <v>2631</v>
      </c>
      <c r="I825" s="153" t="s">
        <v>463</v>
      </c>
      <c r="J825" s="156">
        <v>819.0</v>
      </c>
      <c r="K825" s="157" t="s">
        <v>2632</v>
      </c>
      <c r="L825" s="153" t="s">
        <v>2633</v>
      </c>
      <c r="M825" s="153"/>
      <c r="N825" s="153"/>
      <c r="O825" s="153"/>
      <c r="P825" s="153"/>
      <c r="Q825" s="153"/>
      <c r="R825" s="153"/>
      <c r="S825" s="153"/>
      <c r="T825" s="153"/>
    </row>
    <row r="826">
      <c r="A826" s="152"/>
      <c r="B826" s="153"/>
      <c r="C826" s="152"/>
      <c r="D826" s="152"/>
      <c r="E826" s="154">
        <v>4556.0</v>
      </c>
      <c r="F826" s="152"/>
      <c r="G826" s="155"/>
      <c r="H826" s="153" t="s">
        <v>2634</v>
      </c>
      <c r="I826" s="153" t="s">
        <v>2356</v>
      </c>
      <c r="J826" s="156">
        <v>820.0</v>
      </c>
      <c r="K826" s="157" t="s">
        <v>2635</v>
      </c>
      <c r="L826" s="158" t="s">
        <v>2636</v>
      </c>
      <c r="M826" s="158"/>
      <c r="N826" s="158"/>
      <c r="O826" s="158"/>
      <c r="P826" s="158"/>
      <c r="Q826" s="158"/>
      <c r="R826" s="158"/>
      <c r="S826" s="158"/>
      <c r="T826" s="158"/>
    </row>
    <row r="827">
      <c r="A827" s="152"/>
      <c r="B827" s="153"/>
      <c r="C827" s="152"/>
      <c r="D827" s="152"/>
      <c r="E827" s="154">
        <v>4561.0</v>
      </c>
      <c r="F827" s="152"/>
      <c r="G827" s="155"/>
      <c r="H827" s="153" t="s">
        <v>2637</v>
      </c>
      <c r="I827" s="153" t="s">
        <v>230</v>
      </c>
      <c r="J827" s="156">
        <v>821.0</v>
      </c>
      <c r="K827" s="157" t="s">
        <v>2638</v>
      </c>
      <c r="L827" s="153" t="s">
        <v>2621</v>
      </c>
      <c r="M827" s="153"/>
      <c r="N827" s="153"/>
      <c r="O827" s="153"/>
      <c r="P827" s="153"/>
      <c r="Q827" s="153"/>
      <c r="R827" s="153"/>
      <c r="S827" s="153"/>
      <c r="T827" s="153"/>
    </row>
    <row r="828">
      <c r="A828" s="152"/>
      <c r="B828" s="153"/>
      <c r="C828" s="152"/>
      <c r="D828" s="152"/>
      <c r="E828" s="154">
        <v>4562.0</v>
      </c>
      <c r="F828" s="152"/>
      <c r="G828" s="155"/>
      <c r="H828" s="153" t="s">
        <v>2639</v>
      </c>
      <c r="I828" s="153" t="s">
        <v>246</v>
      </c>
      <c r="J828" s="156">
        <v>822.0</v>
      </c>
      <c r="K828" s="157" t="s">
        <v>2640</v>
      </c>
      <c r="L828" s="158" t="s">
        <v>2624</v>
      </c>
      <c r="M828" s="158"/>
      <c r="N828" s="158"/>
      <c r="O828" s="158"/>
      <c r="P828" s="158"/>
      <c r="Q828" s="158"/>
      <c r="R828" s="158"/>
      <c r="S828" s="158"/>
      <c r="T828" s="158"/>
    </row>
    <row r="829">
      <c r="A829" s="152"/>
      <c r="B829" s="153"/>
      <c r="C829" s="152"/>
      <c r="D829" s="152"/>
      <c r="E829" s="154">
        <v>4563.0</v>
      </c>
      <c r="F829" s="152"/>
      <c r="G829" s="155"/>
      <c r="H829" s="153" t="s">
        <v>2641</v>
      </c>
      <c r="I829" s="153" t="s">
        <v>230</v>
      </c>
      <c r="J829" s="156">
        <v>823.0</v>
      </c>
      <c r="K829" s="157" t="s">
        <v>2642</v>
      </c>
      <c r="L829" s="153" t="s">
        <v>2621</v>
      </c>
      <c r="M829" s="153"/>
      <c r="N829" s="153"/>
      <c r="O829" s="153"/>
      <c r="P829" s="153"/>
      <c r="Q829" s="153"/>
      <c r="R829" s="153"/>
      <c r="S829" s="153"/>
      <c r="T829" s="153"/>
    </row>
    <row r="830">
      <c r="A830" s="152"/>
      <c r="B830" s="153"/>
      <c r="C830" s="152"/>
      <c r="D830" s="152"/>
      <c r="E830" s="154">
        <v>4564.0</v>
      </c>
      <c r="F830" s="152"/>
      <c r="G830" s="155"/>
      <c r="H830" s="153" t="s">
        <v>2643</v>
      </c>
      <c r="I830" s="153" t="s">
        <v>608</v>
      </c>
      <c r="J830" s="156">
        <v>824.0</v>
      </c>
      <c r="K830" s="157" t="s">
        <v>2644</v>
      </c>
      <c r="L830" s="158" t="s">
        <v>2630</v>
      </c>
      <c r="M830" s="158"/>
      <c r="N830" s="158"/>
      <c r="O830" s="158"/>
      <c r="P830" s="158"/>
      <c r="Q830" s="158"/>
      <c r="R830" s="158"/>
      <c r="S830" s="158"/>
      <c r="T830" s="158"/>
    </row>
    <row r="831">
      <c r="A831" s="152"/>
      <c r="B831" s="153"/>
      <c r="C831" s="152"/>
      <c r="D831" s="152"/>
      <c r="E831" s="154">
        <v>4565.0</v>
      </c>
      <c r="F831" s="152"/>
      <c r="G831" s="155"/>
      <c r="H831" s="153" t="s">
        <v>2645</v>
      </c>
      <c r="I831" s="153" t="s">
        <v>182</v>
      </c>
      <c r="J831" s="156">
        <v>825.0</v>
      </c>
      <c r="K831" s="157" t="s">
        <v>2646</v>
      </c>
      <c r="L831" s="158" t="s">
        <v>2647</v>
      </c>
      <c r="M831" s="158"/>
      <c r="N831" s="158"/>
      <c r="O831" s="158"/>
      <c r="P831" s="158"/>
      <c r="Q831" s="158"/>
      <c r="R831" s="158"/>
      <c r="S831" s="158"/>
      <c r="T831" s="158"/>
    </row>
    <row r="832">
      <c r="A832" s="152"/>
      <c r="B832" s="153"/>
      <c r="C832" s="152"/>
      <c r="D832" s="152"/>
      <c r="E832" s="154">
        <v>4566.0</v>
      </c>
      <c r="F832" s="152"/>
      <c r="G832" s="155"/>
      <c r="H832" s="153" t="s">
        <v>2648</v>
      </c>
      <c r="I832" s="153" t="s">
        <v>230</v>
      </c>
      <c r="J832" s="156">
        <v>826.0</v>
      </c>
      <c r="K832" s="157" t="s">
        <v>2649</v>
      </c>
      <c r="L832" s="153" t="s">
        <v>2650</v>
      </c>
      <c r="M832" s="153"/>
      <c r="N832" s="153"/>
      <c r="O832" s="153"/>
      <c r="P832" s="153"/>
      <c r="Q832" s="153"/>
      <c r="R832" s="153"/>
      <c r="S832" s="153"/>
      <c r="T832" s="153"/>
    </row>
    <row r="833">
      <c r="A833" s="152"/>
      <c r="B833" s="153"/>
      <c r="C833" s="152"/>
      <c r="D833" s="152"/>
      <c r="E833" s="154">
        <v>4611.0</v>
      </c>
      <c r="F833" s="152"/>
      <c r="G833" s="155"/>
      <c r="H833" s="153" t="s">
        <v>2651</v>
      </c>
      <c r="I833" s="153" t="s">
        <v>230</v>
      </c>
      <c r="J833" s="156">
        <v>827.0</v>
      </c>
      <c r="K833" s="157" t="s">
        <v>2652</v>
      </c>
      <c r="L833" s="153" t="s">
        <v>2650</v>
      </c>
      <c r="M833" s="153"/>
      <c r="N833" s="153"/>
      <c r="O833" s="153"/>
      <c r="P833" s="153"/>
      <c r="Q833" s="153"/>
      <c r="R833" s="153"/>
      <c r="S833" s="153"/>
      <c r="T833" s="153"/>
    </row>
    <row r="834">
      <c r="A834" s="152"/>
      <c r="B834" s="153"/>
      <c r="C834" s="152"/>
      <c r="D834" s="152"/>
      <c r="E834" s="154">
        <v>4612.0</v>
      </c>
      <c r="F834" s="152"/>
      <c r="G834" s="155"/>
      <c r="H834" s="153" t="s">
        <v>2653</v>
      </c>
      <c r="I834" s="153" t="s">
        <v>246</v>
      </c>
      <c r="J834" s="156">
        <v>828.0</v>
      </c>
      <c r="K834" s="157" t="s">
        <v>2654</v>
      </c>
      <c r="L834" s="158" t="s">
        <v>2655</v>
      </c>
      <c r="M834" s="158"/>
      <c r="N834" s="158"/>
      <c r="O834" s="158"/>
      <c r="P834" s="158"/>
      <c r="Q834" s="158"/>
      <c r="R834" s="158"/>
      <c r="S834" s="158"/>
      <c r="T834" s="158"/>
    </row>
    <row r="835">
      <c r="A835" s="152"/>
      <c r="B835" s="153"/>
      <c r="C835" s="152"/>
      <c r="D835" s="152"/>
      <c r="E835" s="154">
        <v>4613.0</v>
      </c>
      <c r="F835" s="152"/>
      <c r="G835" s="155"/>
      <c r="H835" s="153" t="s">
        <v>2656</v>
      </c>
      <c r="I835" s="153" t="s">
        <v>230</v>
      </c>
      <c r="J835" s="156">
        <v>829.0</v>
      </c>
      <c r="K835" s="157" t="s">
        <v>2657</v>
      </c>
      <c r="L835" s="153" t="s">
        <v>2658</v>
      </c>
      <c r="M835" s="153"/>
      <c r="N835" s="153"/>
      <c r="O835" s="153"/>
      <c r="P835" s="153"/>
      <c r="Q835" s="153"/>
      <c r="R835" s="153"/>
      <c r="S835" s="153"/>
      <c r="T835" s="153"/>
    </row>
    <row r="836">
      <c r="A836" s="152"/>
      <c r="B836" s="153"/>
      <c r="C836" s="152"/>
      <c r="D836" s="152"/>
      <c r="E836" s="154">
        <v>4614.0</v>
      </c>
      <c r="F836" s="152"/>
      <c r="G836" s="155"/>
      <c r="H836" s="153" t="s">
        <v>2659</v>
      </c>
      <c r="I836" s="153" t="s">
        <v>2449</v>
      </c>
      <c r="J836" s="156">
        <v>830.0</v>
      </c>
      <c r="K836" s="157" t="s">
        <v>2660</v>
      </c>
      <c r="L836" s="158" t="s">
        <v>2661</v>
      </c>
      <c r="M836" s="158"/>
      <c r="N836" s="158"/>
      <c r="O836" s="158"/>
      <c r="P836" s="158"/>
      <c r="Q836" s="158"/>
      <c r="R836" s="158"/>
      <c r="S836" s="158"/>
      <c r="T836" s="158"/>
    </row>
    <row r="837">
      <c r="A837" s="152"/>
      <c r="B837" s="153"/>
      <c r="C837" s="152"/>
      <c r="D837" s="152"/>
      <c r="E837" s="154">
        <v>4615.0</v>
      </c>
      <c r="F837" s="152"/>
      <c r="G837" s="155"/>
      <c r="H837" s="153" t="s">
        <v>2662</v>
      </c>
      <c r="I837" s="153" t="s">
        <v>608</v>
      </c>
      <c r="J837" s="156">
        <v>831.0</v>
      </c>
      <c r="K837" s="157" t="s">
        <v>2663</v>
      </c>
      <c r="L837" s="158" t="s">
        <v>2664</v>
      </c>
      <c r="M837" s="158"/>
      <c r="N837" s="158"/>
      <c r="O837" s="158"/>
      <c r="P837" s="158"/>
      <c r="Q837" s="158"/>
      <c r="R837" s="158"/>
      <c r="S837" s="158"/>
      <c r="T837" s="158"/>
    </row>
    <row r="838">
      <c r="A838" s="152"/>
      <c r="B838" s="153"/>
      <c r="C838" s="152"/>
      <c r="D838" s="152"/>
      <c r="E838" s="154">
        <v>4616.0</v>
      </c>
      <c r="F838" s="152"/>
      <c r="G838" s="155"/>
      <c r="H838" s="153" t="s">
        <v>2665</v>
      </c>
      <c r="I838" s="153" t="s">
        <v>2666</v>
      </c>
      <c r="J838" s="156">
        <v>832.0</v>
      </c>
      <c r="K838" s="157" t="s">
        <v>2667</v>
      </c>
      <c r="L838" s="153" t="s">
        <v>2621</v>
      </c>
      <c r="M838" s="153"/>
      <c r="N838" s="153"/>
      <c r="O838" s="153"/>
      <c r="P838" s="153"/>
      <c r="Q838" s="153"/>
      <c r="R838" s="153"/>
      <c r="S838" s="153"/>
      <c r="T838" s="153"/>
    </row>
    <row r="839">
      <c r="A839" s="152"/>
      <c r="B839" s="153"/>
      <c r="C839" s="152"/>
      <c r="D839" s="152"/>
      <c r="E839" s="154">
        <v>4621.0</v>
      </c>
      <c r="F839" s="152"/>
      <c r="G839" s="155"/>
      <c r="H839" s="153" t="s">
        <v>2668</v>
      </c>
      <c r="I839" s="153" t="s">
        <v>230</v>
      </c>
      <c r="J839" s="156">
        <v>833.0</v>
      </c>
      <c r="K839" s="157" t="s">
        <v>2669</v>
      </c>
      <c r="L839" s="158" t="s">
        <v>2670</v>
      </c>
      <c r="M839" s="158"/>
      <c r="N839" s="158"/>
      <c r="O839" s="158"/>
      <c r="P839" s="158"/>
      <c r="Q839" s="158"/>
      <c r="R839" s="158"/>
      <c r="S839" s="158"/>
      <c r="T839" s="158"/>
    </row>
    <row r="840">
      <c r="A840" s="152"/>
      <c r="B840" s="153"/>
      <c r="C840" s="152"/>
      <c r="D840" s="152"/>
      <c r="E840" s="154">
        <v>4622.0</v>
      </c>
      <c r="F840" s="152"/>
      <c r="G840" s="155"/>
      <c r="H840" s="153" t="s">
        <v>2671</v>
      </c>
      <c r="I840" s="153" t="s">
        <v>230</v>
      </c>
      <c r="J840" s="156">
        <v>834.0</v>
      </c>
      <c r="K840" s="157" t="s">
        <v>2672</v>
      </c>
      <c r="L840" s="158" t="s">
        <v>2673</v>
      </c>
      <c r="M840" s="158"/>
      <c r="N840" s="158"/>
      <c r="O840" s="158"/>
      <c r="P840" s="158"/>
      <c r="Q840" s="158"/>
      <c r="R840" s="158"/>
      <c r="S840" s="158"/>
      <c r="T840" s="158"/>
    </row>
    <row r="841">
      <c r="A841" s="152"/>
      <c r="B841" s="153"/>
      <c r="C841" s="152"/>
      <c r="D841" s="152"/>
      <c r="E841" s="154">
        <v>4623.0</v>
      </c>
      <c r="F841" s="152"/>
      <c r="G841" s="155"/>
      <c r="H841" s="153" t="s">
        <v>2674</v>
      </c>
      <c r="I841" s="153" t="s">
        <v>230</v>
      </c>
      <c r="J841" s="156">
        <v>835.0</v>
      </c>
      <c r="K841" s="157" t="s">
        <v>2623</v>
      </c>
      <c r="L841" s="153" t="s">
        <v>2658</v>
      </c>
      <c r="M841" s="153"/>
      <c r="N841" s="153"/>
      <c r="O841" s="153"/>
      <c r="P841" s="153"/>
      <c r="Q841" s="153"/>
      <c r="R841" s="153"/>
      <c r="S841" s="153"/>
      <c r="T841" s="153"/>
    </row>
    <row r="842">
      <c r="A842" s="152"/>
      <c r="B842" s="153"/>
      <c r="C842" s="152"/>
      <c r="D842" s="152"/>
      <c r="E842" s="154">
        <v>4624.0</v>
      </c>
      <c r="F842" s="152"/>
      <c r="G842" s="155"/>
      <c r="H842" s="153" t="s">
        <v>2675</v>
      </c>
      <c r="I842" s="153" t="s">
        <v>246</v>
      </c>
      <c r="J842" s="156">
        <v>836.0</v>
      </c>
      <c r="K842" s="157" t="s">
        <v>2676</v>
      </c>
      <c r="L842" s="158" t="s">
        <v>2624</v>
      </c>
      <c r="M842" s="158"/>
      <c r="N842" s="158"/>
      <c r="O842" s="158"/>
      <c r="P842" s="158"/>
      <c r="Q842" s="158"/>
      <c r="R842" s="158"/>
      <c r="S842" s="158"/>
      <c r="T842" s="158"/>
    </row>
    <row r="843">
      <c r="A843" s="152"/>
      <c r="B843" s="153"/>
      <c r="C843" s="152"/>
      <c r="D843" s="152"/>
      <c r="E843" s="154">
        <v>4625.0</v>
      </c>
      <c r="F843" s="152"/>
      <c r="G843" s="155"/>
      <c r="H843" s="153" t="s">
        <v>2677</v>
      </c>
      <c r="I843" s="153" t="s">
        <v>415</v>
      </c>
      <c r="J843" s="156">
        <v>837.0</v>
      </c>
      <c r="K843" s="157" t="s">
        <v>2678</v>
      </c>
      <c r="L843" s="158" t="s">
        <v>2679</v>
      </c>
      <c r="M843" s="158"/>
      <c r="N843" s="158"/>
      <c r="O843" s="158"/>
      <c r="P843" s="158"/>
      <c r="Q843" s="158"/>
      <c r="R843" s="158"/>
      <c r="S843" s="158"/>
      <c r="T843" s="158"/>
    </row>
    <row r="844">
      <c r="A844" s="152"/>
      <c r="B844" s="153"/>
      <c r="C844" s="152"/>
      <c r="D844" s="152"/>
      <c r="E844" s="154">
        <v>4626.0</v>
      </c>
      <c r="F844" s="152"/>
      <c r="G844" s="155"/>
      <c r="H844" s="153" t="s">
        <v>2680</v>
      </c>
      <c r="I844" s="153" t="s">
        <v>608</v>
      </c>
      <c r="J844" s="156">
        <v>838.0</v>
      </c>
      <c r="K844" s="157" t="s">
        <v>2681</v>
      </c>
      <c r="L844" s="158" t="s">
        <v>2682</v>
      </c>
      <c r="M844" s="158"/>
      <c r="N844" s="158"/>
      <c r="O844" s="158"/>
      <c r="P844" s="158"/>
      <c r="Q844" s="158"/>
      <c r="R844" s="158"/>
      <c r="S844" s="158"/>
      <c r="T844" s="158"/>
    </row>
    <row r="845">
      <c r="A845" s="152"/>
      <c r="B845" s="153"/>
      <c r="C845" s="152"/>
      <c r="D845" s="152"/>
      <c r="E845" s="154">
        <v>4631.0</v>
      </c>
      <c r="F845" s="152"/>
      <c r="G845" s="155"/>
      <c r="H845" s="153" t="s">
        <v>2683</v>
      </c>
      <c r="I845" s="153" t="s">
        <v>246</v>
      </c>
      <c r="J845" s="156">
        <v>839.0</v>
      </c>
      <c r="K845" s="157" t="s">
        <v>2684</v>
      </c>
      <c r="L845" s="158" t="s">
        <v>2685</v>
      </c>
      <c r="M845" s="158"/>
      <c r="N845" s="158"/>
      <c r="O845" s="158"/>
      <c r="P845" s="158"/>
      <c r="Q845" s="158"/>
      <c r="R845" s="158"/>
      <c r="S845" s="158"/>
      <c r="T845" s="158"/>
    </row>
    <row r="846">
      <c r="A846" s="152"/>
      <c r="B846" s="153"/>
      <c r="C846" s="152"/>
      <c r="D846" s="152"/>
      <c r="E846" s="154">
        <v>4632.0</v>
      </c>
      <c r="F846" s="152"/>
      <c r="G846" s="155"/>
      <c r="H846" s="153" t="s">
        <v>2686</v>
      </c>
      <c r="I846" s="153" t="s">
        <v>182</v>
      </c>
      <c r="J846" s="156">
        <v>840.0</v>
      </c>
      <c r="K846" s="157" t="s">
        <v>2687</v>
      </c>
      <c r="L846" s="153" t="s">
        <v>2633</v>
      </c>
      <c r="M846" s="153"/>
      <c r="N846" s="153"/>
      <c r="O846" s="153"/>
      <c r="P846" s="153"/>
      <c r="Q846" s="153"/>
      <c r="R846" s="153"/>
      <c r="S846" s="153"/>
      <c r="T846" s="153"/>
    </row>
    <row r="847">
      <c r="A847" s="152"/>
      <c r="B847" s="153"/>
      <c r="C847" s="152"/>
      <c r="D847" s="152"/>
      <c r="E847" s="154">
        <v>4633.0</v>
      </c>
      <c r="F847" s="152"/>
      <c r="G847" s="155"/>
      <c r="H847" s="153" t="s">
        <v>2688</v>
      </c>
      <c r="I847" s="153" t="s">
        <v>156</v>
      </c>
      <c r="J847" s="156">
        <v>841.0</v>
      </c>
      <c r="K847" s="157" t="s">
        <v>2689</v>
      </c>
      <c r="L847" s="158" t="s">
        <v>2690</v>
      </c>
      <c r="M847" s="158"/>
      <c r="N847" s="158"/>
      <c r="O847" s="158"/>
      <c r="P847" s="158"/>
      <c r="Q847" s="158"/>
      <c r="R847" s="158"/>
      <c r="S847" s="158"/>
      <c r="T847" s="158"/>
    </row>
    <row r="848">
      <c r="A848" s="152"/>
      <c r="B848" s="153"/>
      <c r="C848" s="152"/>
      <c r="D848" s="152"/>
      <c r="E848" s="154">
        <v>4634.0</v>
      </c>
      <c r="F848" s="152"/>
      <c r="G848" s="155"/>
      <c r="H848" s="153" t="s">
        <v>2691</v>
      </c>
      <c r="I848" s="153" t="s">
        <v>230</v>
      </c>
      <c r="J848" s="156">
        <v>842.0</v>
      </c>
      <c r="K848" s="157" t="s">
        <v>2692</v>
      </c>
      <c r="L848" s="153" t="s">
        <v>2650</v>
      </c>
      <c r="M848" s="153"/>
      <c r="N848" s="153"/>
      <c r="O848" s="153"/>
      <c r="P848" s="153"/>
      <c r="Q848" s="153"/>
      <c r="R848" s="153"/>
      <c r="S848" s="153"/>
      <c r="T848" s="153"/>
    </row>
    <row r="849">
      <c r="A849" s="152"/>
      <c r="B849" s="153"/>
      <c r="C849" s="152"/>
      <c r="D849" s="152"/>
      <c r="E849" s="154">
        <v>4635.0</v>
      </c>
      <c r="F849" s="152"/>
      <c r="G849" s="155"/>
      <c r="H849" s="153" t="s">
        <v>2693</v>
      </c>
      <c r="I849" s="153" t="s">
        <v>1435</v>
      </c>
      <c r="J849" s="156">
        <v>843.0</v>
      </c>
      <c r="K849" s="157" t="s">
        <v>2694</v>
      </c>
      <c r="L849" s="153" t="s">
        <v>2695</v>
      </c>
      <c r="M849" s="153"/>
      <c r="N849" s="153"/>
      <c r="O849" s="153"/>
      <c r="P849" s="153"/>
      <c r="Q849" s="153"/>
      <c r="R849" s="153"/>
      <c r="S849" s="153"/>
      <c r="T849" s="153"/>
    </row>
    <row r="850">
      <c r="A850" s="152"/>
      <c r="B850" s="153"/>
      <c r="C850" s="152"/>
      <c r="D850" s="152"/>
      <c r="E850" s="154">
        <v>4636.0</v>
      </c>
      <c r="F850" s="152"/>
      <c r="G850" s="155"/>
      <c r="H850" s="153" t="s">
        <v>2696</v>
      </c>
      <c r="I850" s="153" t="s">
        <v>2697</v>
      </c>
      <c r="J850" s="156">
        <v>844.0</v>
      </c>
      <c r="K850" s="157" t="s">
        <v>2698</v>
      </c>
      <c r="L850" s="158" t="s">
        <v>2699</v>
      </c>
      <c r="M850" s="158"/>
      <c r="N850" s="158"/>
      <c r="O850" s="158"/>
      <c r="P850" s="158"/>
      <c r="Q850" s="158"/>
      <c r="R850" s="158"/>
      <c r="S850" s="158"/>
      <c r="T850" s="158"/>
    </row>
    <row r="851">
      <c r="A851" s="152"/>
      <c r="B851" s="153"/>
      <c r="C851" s="152"/>
      <c r="D851" s="152"/>
      <c r="E851" s="154">
        <v>4641.0</v>
      </c>
      <c r="F851" s="152"/>
      <c r="G851" s="155"/>
      <c r="H851" s="153" t="s">
        <v>2700</v>
      </c>
      <c r="I851" s="153" t="s">
        <v>1084</v>
      </c>
      <c r="J851" s="156">
        <v>845.0</v>
      </c>
      <c r="K851" s="157" t="s">
        <v>2701</v>
      </c>
      <c r="L851" s="153" t="s">
        <v>2702</v>
      </c>
      <c r="M851" s="153"/>
      <c r="N851" s="153"/>
      <c r="O851" s="153"/>
      <c r="P851" s="153"/>
      <c r="Q851" s="153"/>
      <c r="R851" s="153"/>
      <c r="S851" s="153"/>
      <c r="T851" s="153"/>
    </row>
    <row r="852">
      <c r="A852" s="152"/>
      <c r="B852" s="153"/>
      <c r="C852" s="152"/>
      <c r="D852" s="152"/>
      <c r="E852" s="154">
        <v>4642.0</v>
      </c>
      <c r="F852" s="152"/>
      <c r="G852" s="155"/>
      <c r="H852" s="153" t="s">
        <v>2703</v>
      </c>
      <c r="I852" s="153" t="s">
        <v>1435</v>
      </c>
      <c r="J852" s="156">
        <v>846.0</v>
      </c>
      <c r="K852" s="157" t="s">
        <v>2704</v>
      </c>
      <c r="L852" s="158" t="s">
        <v>2705</v>
      </c>
      <c r="M852" s="158"/>
      <c r="N852" s="158"/>
      <c r="O852" s="158"/>
      <c r="P852" s="158"/>
      <c r="Q852" s="158"/>
      <c r="R852" s="158"/>
      <c r="S852" s="158"/>
      <c r="T852" s="158"/>
    </row>
    <row r="853">
      <c r="A853" s="152"/>
      <c r="B853" s="153"/>
      <c r="C853" s="152"/>
      <c r="D853" s="152"/>
      <c r="E853" s="154">
        <v>4643.0</v>
      </c>
      <c r="F853" s="152"/>
      <c r="G853" s="155"/>
      <c r="H853" s="153" t="s">
        <v>2706</v>
      </c>
      <c r="I853" s="153" t="s">
        <v>182</v>
      </c>
      <c r="J853" s="156">
        <v>847.0</v>
      </c>
      <c r="K853" s="157" t="s">
        <v>2707</v>
      </c>
      <c r="L853" s="158" t="s">
        <v>2708</v>
      </c>
      <c r="M853" s="158"/>
      <c r="N853" s="158"/>
      <c r="O853" s="158"/>
      <c r="P853" s="158"/>
      <c r="Q853" s="158"/>
      <c r="R853" s="158"/>
      <c r="S853" s="158"/>
      <c r="T853" s="158"/>
    </row>
    <row r="854">
      <c r="A854" s="152"/>
      <c r="B854" s="153"/>
      <c r="C854" s="152"/>
      <c r="D854" s="152"/>
      <c r="E854" s="154">
        <v>4644.0</v>
      </c>
      <c r="F854" s="152"/>
      <c r="G854" s="155"/>
      <c r="H854" s="153" t="s">
        <v>2709</v>
      </c>
      <c r="I854" s="153" t="s">
        <v>2710</v>
      </c>
      <c r="J854" s="156">
        <v>848.0</v>
      </c>
      <c r="K854" s="157" t="s">
        <v>2711</v>
      </c>
      <c r="L854" s="158" t="s">
        <v>2712</v>
      </c>
      <c r="M854" s="158"/>
      <c r="N854" s="158"/>
      <c r="O854" s="158"/>
      <c r="P854" s="158"/>
      <c r="Q854" s="158"/>
      <c r="R854" s="158"/>
      <c r="S854" s="158"/>
      <c r="T854" s="158"/>
    </row>
    <row r="855">
      <c r="A855" s="152"/>
      <c r="B855" s="153"/>
      <c r="C855" s="152"/>
      <c r="D855" s="152"/>
      <c r="E855" s="154">
        <v>4645.0</v>
      </c>
      <c r="F855" s="152"/>
      <c r="G855" s="155"/>
      <c r="H855" s="153" t="s">
        <v>2713</v>
      </c>
      <c r="I855" s="153" t="s">
        <v>2710</v>
      </c>
      <c r="J855" s="156">
        <v>849.0</v>
      </c>
      <c r="K855" s="157" t="s">
        <v>2714</v>
      </c>
      <c r="L855" s="158" t="s">
        <v>2715</v>
      </c>
      <c r="M855" s="158"/>
      <c r="N855" s="158"/>
      <c r="O855" s="158"/>
      <c r="P855" s="158"/>
      <c r="Q855" s="158"/>
      <c r="R855" s="158"/>
      <c r="S855" s="158"/>
      <c r="T855" s="158"/>
    </row>
    <row r="856">
      <c r="A856" s="152"/>
      <c r="B856" s="153"/>
      <c r="C856" s="152"/>
      <c r="D856" s="152"/>
      <c r="E856" s="154">
        <v>4646.0</v>
      </c>
      <c r="F856" s="152"/>
      <c r="G856" s="155"/>
      <c r="H856" s="153" t="s">
        <v>2716</v>
      </c>
      <c r="I856" s="153" t="s">
        <v>1435</v>
      </c>
      <c r="J856" s="156">
        <v>850.0</v>
      </c>
      <c r="K856" s="157" t="s">
        <v>2717</v>
      </c>
      <c r="L856" s="158" t="s">
        <v>2718</v>
      </c>
      <c r="M856" s="158"/>
      <c r="N856" s="158"/>
      <c r="O856" s="158"/>
      <c r="P856" s="158"/>
      <c r="Q856" s="158"/>
      <c r="R856" s="158"/>
      <c r="S856" s="158"/>
      <c r="T856" s="158"/>
    </row>
    <row r="857">
      <c r="A857" s="152"/>
      <c r="B857" s="153"/>
      <c r="C857" s="152"/>
      <c r="D857" s="152"/>
      <c r="E857" s="154">
        <v>4651.0</v>
      </c>
      <c r="F857" s="152"/>
      <c r="G857" s="155"/>
      <c r="H857" s="153" t="s">
        <v>2719</v>
      </c>
      <c r="I857" s="153" t="s">
        <v>1435</v>
      </c>
      <c r="J857" s="156">
        <v>851.0</v>
      </c>
      <c r="K857" s="157" t="s">
        <v>2720</v>
      </c>
      <c r="L857" s="153" t="s">
        <v>2721</v>
      </c>
      <c r="M857" s="153"/>
      <c r="N857" s="153"/>
      <c r="O857" s="153"/>
      <c r="P857" s="153"/>
      <c r="Q857" s="153"/>
      <c r="R857" s="153"/>
      <c r="S857" s="153"/>
      <c r="T857" s="153"/>
    </row>
    <row r="858">
      <c r="A858" s="152"/>
      <c r="B858" s="153"/>
      <c r="C858" s="152"/>
      <c r="D858" s="152"/>
      <c r="E858" s="154">
        <v>4652.0</v>
      </c>
      <c r="F858" s="152"/>
      <c r="G858" s="155"/>
      <c r="H858" s="153" t="s">
        <v>2722</v>
      </c>
      <c r="I858" s="153" t="s">
        <v>1604</v>
      </c>
      <c r="J858" s="156">
        <v>852.0</v>
      </c>
      <c r="K858" s="157" t="s">
        <v>2723</v>
      </c>
      <c r="L858" s="158" t="s">
        <v>2724</v>
      </c>
      <c r="M858" s="158"/>
      <c r="N858" s="158"/>
      <c r="O858" s="158"/>
      <c r="P858" s="158"/>
      <c r="Q858" s="158"/>
      <c r="R858" s="158"/>
      <c r="S858" s="158"/>
      <c r="T858" s="158"/>
    </row>
    <row r="859">
      <c r="A859" s="152"/>
      <c r="B859" s="153"/>
      <c r="C859" s="152"/>
      <c r="D859" s="152"/>
      <c r="E859" s="154">
        <v>4653.0</v>
      </c>
      <c r="F859" s="152"/>
      <c r="G859" s="155"/>
      <c r="H859" s="153" t="s">
        <v>2725</v>
      </c>
      <c r="I859" s="153" t="s">
        <v>1435</v>
      </c>
      <c r="J859" s="156">
        <v>853.0</v>
      </c>
      <c r="K859" s="157" t="s">
        <v>2726</v>
      </c>
      <c r="L859" s="153" t="s">
        <v>2727</v>
      </c>
      <c r="M859" s="153"/>
      <c r="N859" s="153"/>
      <c r="O859" s="153"/>
      <c r="P859" s="153"/>
      <c r="Q859" s="153"/>
      <c r="R859" s="153"/>
      <c r="S859" s="153"/>
      <c r="T859" s="153"/>
    </row>
    <row r="860">
      <c r="A860" s="152"/>
      <c r="B860" s="153"/>
      <c r="C860" s="152"/>
      <c r="D860" s="152"/>
      <c r="E860" s="154">
        <v>4654.0</v>
      </c>
      <c r="F860" s="152"/>
      <c r="G860" s="155"/>
      <c r="H860" s="153" t="s">
        <v>2728</v>
      </c>
      <c r="I860" s="153" t="s">
        <v>1435</v>
      </c>
      <c r="J860" s="156">
        <v>854.0</v>
      </c>
      <c r="K860" s="157" t="s">
        <v>2729</v>
      </c>
      <c r="L860" s="153" t="s">
        <v>2730</v>
      </c>
      <c r="M860" s="153"/>
      <c r="N860" s="153"/>
      <c r="O860" s="153"/>
      <c r="P860" s="153"/>
      <c r="Q860" s="153"/>
      <c r="R860" s="153"/>
      <c r="S860" s="153"/>
      <c r="T860" s="153"/>
    </row>
    <row r="861">
      <c r="A861" s="152"/>
      <c r="B861" s="153"/>
      <c r="C861" s="152"/>
      <c r="D861" s="152"/>
      <c r="E861" s="154">
        <v>4655.0</v>
      </c>
      <c r="F861" s="152"/>
      <c r="G861" s="155"/>
      <c r="H861" s="153" t="s">
        <v>2616</v>
      </c>
      <c r="I861" s="153" t="s">
        <v>2396</v>
      </c>
      <c r="J861" s="156">
        <v>855.0</v>
      </c>
      <c r="K861" s="157" t="s">
        <v>2731</v>
      </c>
      <c r="L861" s="153" t="s">
        <v>2618</v>
      </c>
      <c r="M861" s="153"/>
      <c r="N861" s="153"/>
      <c r="O861" s="153"/>
      <c r="P861" s="153"/>
      <c r="Q861" s="153"/>
      <c r="R861" s="153"/>
      <c r="S861" s="153"/>
      <c r="T861" s="153"/>
    </row>
    <row r="862">
      <c r="A862" s="152"/>
      <c r="B862" s="153"/>
      <c r="C862" s="152"/>
      <c r="D862" s="152"/>
      <c r="E862" s="154">
        <v>4656.0</v>
      </c>
      <c r="F862" s="152"/>
      <c r="G862" s="155"/>
      <c r="H862" s="153" t="s">
        <v>2732</v>
      </c>
      <c r="I862" s="153" t="s">
        <v>167</v>
      </c>
      <c r="J862" s="156">
        <v>856.0</v>
      </c>
      <c r="K862" s="157" t="s">
        <v>2733</v>
      </c>
      <c r="L862" s="153" t="s">
        <v>2734</v>
      </c>
      <c r="M862" s="153"/>
      <c r="N862" s="153"/>
      <c r="O862" s="153"/>
      <c r="P862" s="153"/>
      <c r="Q862" s="153"/>
      <c r="R862" s="153"/>
      <c r="S862" s="153"/>
      <c r="T862" s="153"/>
    </row>
    <row r="863">
      <c r="A863" s="152"/>
      <c r="B863" s="153"/>
      <c r="C863" s="152"/>
      <c r="D863" s="152"/>
      <c r="E863" s="154">
        <v>4661.0</v>
      </c>
      <c r="F863" s="152"/>
      <c r="G863" s="155"/>
      <c r="H863" s="153" t="s">
        <v>2735</v>
      </c>
      <c r="I863" s="153" t="s">
        <v>2492</v>
      </c>
      <c r="J863" s="156">
        <v>857.0</v>
      </c>
      <c r="K863" s="157" t="s">
        <v>2736</v>
      </c>
      <c r="L863" s="153" t="s">
        <v>2737</v>
      </c>
      <c r="M863" s="153"/>
      <c r="N863" s="153"/>
      <c r="O863" s="153"/>
      <c r="P863" s="153"/>
      <c r="Q863" s="153"/>
      <c r="R863" s="153"/>
      <c r="S863" s="153"/>
      <c r="T863" s="153"/>
    </row>
    <row r="864">
      <c r="A864" s="152"/>
      <c r="B864" s="153"/>
      <c r="C864" s="152"/>
      <c r="D864" s="152"/>
      <c r="E864" s="154">
        <v>4662.0</v>
      </c>
      <c r="F864" s="152"/>
      <c r="G864" s="155"/>
      <c r="H864" s="153" t="s">
        <v>2738</v>
      </c>
      <c r="I864" s="153" t="s">
        <v>1084</v>
      </c>
      <c r="J864" s="156">
        <v>858.0</v>
      </c>
      <c r="K864" s="157" t="s">
        <v>2739</v>
      </c>
      <c r="L864" s="153" t="s">
        <v>2740</v>
      </c>
      <c r="M864" s="153"/>
      <c r="N864" s="153"/>
      <c r="O864" s="153"/>
      <c r="P864" s="153"/>
      <c r="Q864" s="153"/>
      <c r="R864" s="153"/>
      <c r="S864" s="153"/>
      <c r="T864" s="153"/>
    </row>
    <row r="865">
      <c r="A865" s="152"/>
      <c r="B865" s="153"/>
      <c r="C865" s="152"/>
      <c r="D865" s="152"/>
      <c r="E865" s="154">
        <v>4663.0</v>
      </c>
      <c r="F865" s="152"/>
      <c r="G865" s="155"/>
      <c r="H865" s="153" t="s">
        <v>2741</v>
      </c>
      <c r="I865" s="153" t="s">
        <v>167</v>
      </c>
      <c r="J865" s="156">
        <v>859.0</v>
      </c>
      <c r="K865" s="157" t="s">
        <v>2742</v>
      </c>
      <c r="L865" s="153" t="s">
        <v>2743</v>
      </c>
      <c r="M865" s="153"/>
      <c r="N865" s="153"/>
      <c r="O865" s="153"/>
      <c r="P865" s="153"/>
      <c r="Q865" s="153"/>
      <c r="R865" s="153"/>
      <c r="S865" s="153"/>
      <c r="T865" s="153"/>
    </row>
    <row r="866">
      <c r="A866" s="152"/>
      <c r="B866" s="153"/>
      <c r="C866" s="152"/>
      <c r="D866" s="152"/>
      <c r="E866" s="154">
        <v>4664.0</v>
      </c>
      <c r="F866" s="152"/>
      <c r="G866" s="155"/>
      <c r="H866" s="153" t="s">
        <v>2744</v>
      </c>
      <c r="I866" s="153" t="s">
        <v>2697</v>
      </c>
      <c r="J866" s="156">
        <v>860.0</v>
      </c>
      <c r="K866" s="157" t="s">
        <v>2745</v>
      </c>
      <c r="L866" s="158" t="s">
        <v>2746</v>
      </c>
      <c r="M866" s="158"/>
      <c r="N866" s="158"/>
      <c r="O866" s="158"/>
      <c r="P866" s="158"/>
      <c r="Q866" s="158"/>
      <c r="R866" s="158"/>
      <c r="S866" s="158"/>
      <c r="T866" s="158"/>
    </row>
    <row r="867">
      <c r="A867" s="152"/>
      <c r="B867" s="153"/>
      <c r="C867" s="152"/>
      <c r="D867" s="152"/>
      <c r="E867" s="154">
        <v>4665.0</v>
      </c>
      <c r="F867" s="152"/>
      <c r="G867" s="155"/>
      <c r="H867" s="153" t="s">
        <v>2747</v>
      </c>
      <c r="I867" s="153" t="s">
        <v>1084</v>
      </c>
      <c r="J867" s="156">
        <v>861.0</v>
      </c>
      <c r="K867" s="157" t="s">
        <v>2748</v>
      </c>
      <c r="L867" s="158" t="s">
        <v>2749</v>
      </c>
      <c r="M867" s="158"/>
      <c r="N867" s="158"/>
      <c r="O867" s="158"/>
      <c r="P867" s="158"/>
      <c r="Q867" s="158"/>
      <c r="R867" s="158"/>
      <c r="S867" s="158"/>
      <c r="T867" s="158"/>
    </row>
    <row r="868">
      <c r="A868" s="152"/>
      <c r="B868" s="153"/>
      <c r="C868" s="152"/>
      <c r="D868" s="152"/>
      <c r="E868" s="154">
        <v>4666.0</v>
      </c>
      <c r="F868" s="152"/>
      <c r="G868" s="155"/>
      <c r="H868" s="153" t="s">
        <v>2750</v>
      </c>
      <c r="I868" s="153" t="s">
        <v>2449</v>
      </c>
      <c r="J868" s="156">
        <v>862.0</v>
      </c>
      <c r="K868" s="157" t="s">
        <v>2751</v>
      </c>
      <c r="L868" s="158" t="s">
        <v>2752</v>
      </c>
      <c r="M868" s="158"/>
      <c r="N868" s="158"/>
      <c r="O868" s="158"/>
      <c r="P868" s="158"/>
      <c r="Q868" s="158"/>
      <c r="R868" s="158"/>
      <c r="S868" s="158"/>
      <c r="T868" s="158"/>
    </row>
    <row r="869">
      <c r="A869" s="152"/>
      <c r="B869" s="153"/>
      <c r="C869" s="152"/>
      <c r="D869" s="152"/>
      <c r="E869" s="154">
        <v>5111.0</v>
      </c>
      <c r="F869" s="152"/>
      <c r="G869" s="155"/>
      <c r="H869" s="153" t="s">
        <v>2753</v>
      </c>
      <c r="I869" s="153" t="s">
        <v>156</v>
      </c>
      <c r="J869" s="156">
        <v>863.0</v>
      </c>
      <c r="K869" s="157" t="s">
        <v>2754</v>
      </c>
      <c r="L869" s="158" t="s">
        <v>2755</v>
      </c>
      <c r="M869" s="158"/>
      <c r="N869" s="158"/>
      <c r="O869" s="158"/>
      <c r="P869" s="158"/>
      <c r="Q869" s="158"/>
      <c r="R869" s="158"/>
      <c r="S869" s="158"/>
      <c r="T869" s="158"/>
    </row>
    <row r="870">
      <c r="A870" s="152"/>
      <c r="B870" s="153"/>
      <c r="C870" s="152"/>
      <c r="D870" s="152"/>
      <c r="E870" s="154">
        <v>5112.0</v>
      </c>
      <c r="F870" s="152"/>
      <c r="G870" s="155"/>
      <c r="H870" s="153" t="s">
        <v>2756</v>
      </c>
      <c r="I870" s="153" t="s">
        <v>1435</v>
      </c>
      <c r="J870" s="156">
        <v>864.0</v>
      </c>
      <c r="K870" s="157" t="s">
        <v>2757</v>
      </c>
      <c r="L870" s="158" t="s">
        <v>2758</v>
      </c>
      <c r="M870" s="158"/>
      <c r="N870" s="158"/>
      <c r="O870" s="158"/>
      <c r="P870" s="158"/>
      <c r="Q870" s="158"/>
      <c r="R870" s="158"/>
      <c r="S870" s="158"/>
      <c r="T870" s="158"/>
    </row>
    <row r="871">
      <c r="A871" s="152"/>
      <c r="B871" s="153"/>
      <c r="C871" s="152"/>
      <c r="D871" s="152"/>
      <c r="E871" s="154">
        <v>5113.0</v>
      </c>
      <c r="F871" s="152"/>
      <c r="G871" s="155"/>
      <c r="H871" s="153" t="s">
        <v>2759</v>
      </c>
      <c r="I871" s="153" t="s">
        <v>246</v>
      </c>
      <c r="J871" s="156">
        <v>865.0</v>
      </c>
      <c r="K871" s="157" t="s">
        <v>2760</v>
      </c>
      <c r="L871" s="153" t="s">
        <v>2761</v>
      </c>
      <c r="M871" s="153"/>
      <c r="N871" s="153"/>
      <c r="O871" s="153"/>
      <c r="P871" s="153"/>
      <c r="Q871" s="153"/>
      <c r="R871" s="153"/>
      <c r="S871" s="153"/>
      <c r="T871" s="153"/>
    </row>
    <row r="872">
      <c r="A872" s="152"/>
      <c r="B872" s="153"/>
      <c r="C872" s="152"/>
      <c r="D872" s="152"/>
      <c r="E872" s="154">
        <v>5114.0</v>
      </c>
      <c r="F872" s="152"/>
      <c r="G872" s="155"/>
      <c r="H872" s="153" t="s">
        <v>2762</v>
      </c>
      <c r="I872" s="153" t="s">
        <v>182</v>
      </c>
      <c r="J872" s="156">
        <v>866.0</v>
      </c>
      <c r="K872" s="157" t="s">
        <v>2763</v>
      </c>
      <c r="L872" s="158" t="s">
        <v>2764</v>
      </c>
      <c r="M872" s="158"/>
      <c r="N872" s="158"/>
      <c r="O872" s="158"/>
      <c r="P872" s="158"/>
      <c r="Q872" s="158"/>
      <c r="R872" s="158"/>
      <c r="S872" s="158"/>
      <c r="T872" s="158"/>
    </row>
    <row r="873">
      <c r="A873" s="152"/>
      <c r="B873" s="153"/>
      <c r="C873" s="152"/>
      <c r="D873" s="152"/>
      <c r="E873" s="154">
        <v>5115.0</v>
      </c>
      <c r="F873" s="152"/>
      <c r="G873" s="155"/>
      <c r="H873" s="153" t="s">
        <v>2765</v>
      </c>
      <c r="I873" s="153" t="s">
        <v>182</v>
      </c>
      <c r="J873" s="156">
        <v>867.0</v>
      </c>
      <c r="K873" s="157" t="s">
        <v>2766</v>
      </c>
      <c r="L873" s="158" t="s">
        <v>2767</v>
      </c>
      <c r="M873" s="158"/>
      <c r="N873" s="158"/>
      <c r="O873" s="158"/>
      <c r="P873" s="158"/>
      <c r="Q873" s="158"/>
      <c r="R873" s="158"/>
      <c r="S873" s="158"/>
      <c r="T873" s="158"/>
    </row>
    <row r="874">
      <c r="A874" s="152"/>
      <c r="B874" s="153"/>
      <c r="C874" s="152"/>
      <c r="D874" s="152"/>
      <c r="E874" s="154">
        <v>5116.0</v>
      </c>
      <c r="F874" s="152"/>
      <c r="G874" s="155"/>
      <c r="H874" s="153" t="s">
        <v>2768</v>
      </c>
      <c r="I874" s="153" t="s">
        <v>2502</v>
      </c>
      <c r="J874" s="156">
        <v>868.0</v>
      </c>
      <c r="K874" s="157" t="s">
        <v>2769</v>
      </c>
      <c r="L874" s="158" t="s">
        <v>2770</v>
      </c>
      <c r="M874" s="158"/>
      <c r="N874" s="158"/>
      <c r="O874" s="158"/>
      <c r="P874" s="158"/>
      <c r="Q874" s="158"/>
      <c r="R874" s="158"/>
      <c r="S874" s="158"/>
      <c r="T874" s="158"/>
    </row>
    <row r="875">
      <c r="A875" s="152"/>
      <c r="B875" s="153"/>
      <c r="C875" s="152"/>
      <c r="D875" s="152"/>
      <c r="E875" s="154">
        <v>5121.0</v>
      </c>
      <c r="F875" s="152"/>
      <c r="G875" s="155"/>
      <c r="H875" s="153" t="s">
        <v>2771</v>
      </c>
      <c r="I875" s="153" t="s">
        <v>2502</v>
      </c>
      <c r="J875" s="156">
        <v>869.0</v>
      </c>
      <c r="K875" s="157" t="s">
        <v>2772</v>
      </c>
      <c r="L875" s="153" t="s">
        <v>2773</v>
      </c>
      <c r="M875" s="153"/>
      <c r="N875" s="153"/>
      <c r="O875" s="153"/>
      <c r="P875" s="153"/>
      <c r="Q875" s="153"/>
      <c r="R875" s="153"/>
      <c r="S875" s="153"/>
      <c r="T875" s="153"/>
    </row>
    <row r="876">
      <c r="A876" s="152"/>
      <c r="B876" s="153"/>
      <c r="C876" s="152"/>
      <c r="D876" s="152"/>
      <c r="E876" s="154">
        <v>5122.0</v>
      </c>
      <c r="F876" s="152"/>
      <c r="G876" s="155"/>
      <c r="H876" s="153" t="s">
        <v>2774</v>
      </c>
      <c r="I876" s="153" t="s">
        <v>2502</v>
      </c>
      <c r="J876" s="156">
        <v>870.0</v>
      </c>
      <c r="K876" s="157" t="s">
        <v>2775</v>
      </c>
      <c r="L876" s="153" t="s">
        <v>2776</v>
      </c>
      <c r="M876" s="153"/>
      <c r="N876" s="153"/>
      <c r="O876" s="153"/>
      <c r="P876" s="153"/>
      <c r="Q876" s="153"/>
      <c r="R876" s="153"/>
      <c r="S876" s="153"/>
      <c r="T876" s="153"/>
    </row>
    <row r="877">
      <c r="A877" s="152"/>
      <c r="B877" s="153"/>
      <c r="C877" s="152"/>
      <c r="D877" s="152"/>
      <c r="E877" s="154">
        <v>5123.0</v>
      </c>
      <c r="F877" s="152"/>
      <c r="G877" s="155"/>
      <c r="H877" s="153" t="s">
        <v>2777</v>
      </c>
      <c r="I877" s="153" t="s">
        <v>2502</v>
      </c>
      <c r="J877" s="156">
        <v>871.0</v>
      </c>
      <c r="K877" s="157" t="s">
        <v>2778</v>
      </c>
      <c r="L877" s="153" t="s">
        <v>2779</v>
      </c>
      <c r="M877" s="153"/>
      <c r="N877" s="153"/>
      <c r="O877" s="153"/>
      <c r="P877" s="153"/>
      <c r="Q877" s="153"/>
      <c r="R877" s="153"/>
      <c r="S877" s="153"/>
      <c r="T877" s="153"/>
    </row>
    <row r="878">
      <c r="A878" s="152"/>
      <c r="B878" s="153"/>
      <c r="C878" s="152"/>
      <c r="D878" s="152"/>
      <c r="E878" s="154">
        <v>5124.0</v>
      </c>
      <c r="F878" s="152"/>
      <c r="G878" s="155"/>
      <c r="H878" s="153" t="s">
        <v>2780</v>
      </c>
      <c r="I878" s="153" t="s">
        <v>246</v>
      </c>
      <c r="J878" s="156">
        <v>872.0</v>
      </c>
      <c r="K878" s="157" t="s">
        <v>2781</v>
      </c>
      <c r="L878" s="153" t="s">
        <v>2782</v>
      </c>
      <c r="M878" s="153"/>
      <c r="N878" s="153"/>
      <c r="O878" s="153"/>
      <c r="P878" s="153"/>
      <c r="Q878" s="153"/>
      <c r="R878" s="153"/>
      <c r="S878" s="153"/>
      <c r="T878" s="153"/>
    </row>
    <row r="879">
      <c r="A879" s="152"/>
      <c r="B879" s="153"/>
      <c r="C879" s="152"/>
      <c r="D879" s="152"/>
      <c r="E879" s="154">
        <v>5125.0</v>
      </c>
      <c r="F879" s="152"/>
      <c r="G879" s="155"/>
      <c r="H879" s="153" t="s">
        <v>2783</v>
      </c>
      <c r="I879" s="153" t="s">
        <v>230</v>
      </c>
      <c r="J879" s="156">
        <v>873.0</v>
      </c>
      <c r="K879" s="157" t="s">
        <v>2784</v>
      </c>
      <c r="L879" s="153" t="s">
        <v>2785</v>
      </c>
      <c r="M879" s="153"/>
      <c r="N879" s="153"/>
      <c r="O879" s="153"/>
      <c r="P879" s="153"/>
      <c r="Q879" s="153"/>
      <c r="R879" s="153"/>
      <c r="S879" s="153"/>
      <c r="T879" s="153"/>
    </row>
    <row r="880">
      <c r="A880" s="152"/>
      <c r="B880" s="153"/>
      <c r="C880" s="152"/>
      <c r="D880" s="152"/>
      <c r="E880" s="154">
        <v>5126.0</v>
      </c>
      <c r="F880" s="152"/>
      <c r="G880" s="155"/>
      <c r="H880" s="153" t="s">
        <v>2786</v>
      </c>
      <c r="I880" s="153" t="s">
        <v>230</v>
      </c>
      <c r="J880" s="156">
        <v>874.0</v>
      </c>
      <c r="K880" s="157" t="s">
        <v>2787</v>
      </c>
      <c r="L880" s="153" t="s">
        <v>2788</v>
      </c>
      <c r="M880" s="153"/>
      <c r="N880" s="153"/>
      <c r="O880" s="153"/>
      <c r="P880" s="153"/>
      <c r="Q880" s="153"/>
      <c r="R880" s="153"/>
      <c r="S880" s="153"/>
      <c r="T880" s="153"/>
    </row>
    <row r="881">
      <c r="A881" s="152"/>
      <c r="B881" s="153"/>
      <c r="C881" s="152"/>
      <c r="D881" s="152"/>
      <c r="E881" s="154">
        <v>5131.0</v>
      </c>
      <c r="F881" s="152"/>
      <c r="G881" s="155"/>
      <c r="H881" s="153" t="s">
        <v>2789</v>
      </c>
      <c r="I881" s="153" t="s">
        <v>434</v>
      </c>
      <c r="J881" s="156">
        <v>875.0</v>
      </c>
      <c r="K881" s="157" t="s">
        <v>2790</v>
      </c>
      <c r="L881" s="158" t="s">
        <v>2791</v>
      </c>
      <c r="M881" s="158"/>
      <c r="N881" s="158"/>
      <c r="O881" s="158"/>
      <c r="P881" s="158"/>
      <c r="Q881" s="158"/>
      <c r="R881" s="158"/>
      <c r="S881" s="158"/>
      <c r="T881" s="158"/>
    </row>
    <row r="882">
      <c r="A882" s="152"/>
      <c r="B882" s="153"/>
      <c r="C882" s="152"/>
      <c r="D882" s="152"/>
      <c r="E882" s="154">
        <v>5132.0</v>
      </c>
      <c r="F882" s="152"/>
      <c r="G882" s="155"/>
      <c r="H882" s="153" t="s">
        <v>2792</v>
      </c>
      <c r="I882" s="153" t="s">
        <v>434</v>
      </c>
      <c r="J882" s="156">
        <v>876.0</v>
      </c>
      <c r="K882" s="157" t="s">
        <v>2793</v>
      </c>
      <c r="L882" s="158" t="s">
        <v>2627</v>
      </c>
      <c r="M882" s="158"/>
      <c r="N882" s="158"/>
      <c r="O882" s="158"/>
      <c r="P882" s="158"/>
      <c r="Q882" s="158"/>
      <c r="R882" s="158"/>
      <c r="S882" s="158"/>
      <c r="T882" s="158"/>
    </row>
    <row r="883">
      <c r="A883" s="152"/>
      <c r="B883" s="153"/>
      <c r="C883" s="152"/>
      <c r="D883" s="152"/>
      <c r="E883" s="154">
        <v>5133.0</v>
      </c>
      <c r="F883" s="152"/>
      <c r="G883" s="155"/>
      <c r="H883" s="153" t="s">
        <v>2794</v>
      </c>
      <c r="I883" s="153" t="s">
        <v>2515</v>
      </c>
      <c r="J883" s="156">
        <v>877.0</v>
      </c>
      <c r="K883" s="157" t="s">
        <v>2795</v>
      </c>
      <c r="L883" s="153" t="s">
        <v>2796</v>
      </c>
      <c r="M883" s="153"/>
      <c r="N883" s="153"/>
      <c r="O883" s="153"/>
      <c r="P883" s="153"/>
      <c r="Q883" s="153"/>
      <c r="R883" s="153"/>
      <c r="S883" s="153"/>
      <c r="T883" s="153"/>
    </row>
    <row r="884">
      <c r="A884" s="152"/>
      <c r="B884" s="153"/>
      <c r="C884" s="152"/>
      <c r="D884" s="152"/>
      <c r="E884" s="154">
        <v>5134.0</v>
      </c>
      <c r="F884" s="152"/>
      <c r="G884" s="155"/>
      <c r="H884" s="153" t="s">
        <v>2797</v>
      </c>
      <c r="I884" s="153" t="s">
        <v>2219</v>
      </c>
      <c r="J884" s="156">
        <v>878.0</v>
      </c>
      <c r="K884" s="157" t="s">
        <v>2798</v>
      </c>
      <c r="L884" s="158" t="s">
        <v>2799</v>
      </c>
      <c r="M884" s="158"/>
      <c r="N884" s="158"/>
      <c r="O884" s="158"/>
      <c r="P884" s="158"/>
      <c r="Q884" s="158"/>
      <c r="R884" s="158"/>
      <c r="S884" s="158"/>
      <c r="T884" s="158"/>
    </row>
    <row r="885">
      <c r="A885" s="152"/>
      <c r="B885" s="153"/>
      <c r="C885" s="152"/>
      <c r="D885" s="152"/>
      <c r="E885" s="154">
        <v>5135.0</v>
      </c>
      <c r="F885" s="152"/>
      <c r="G885" s="155"/>
      <c r="H885" s="153" t="s">
        <v>2800</v>
      </c>
      <c r="I885" s="153" t="s">
        <v>2502</v>
      </c>
      <c r="J885" s="156">
        <v>879.0</v>
      </c>
      <c r="K885" s="157" t="s">
        <v>2801</v>
      </c>
      <c r="L885" s="158" t="s">
        <v>2802</v>
      </c>
      <c r="M885" s="158"/>
      <c r="N885" s="158"/>
      <c r="O885" s="158"/>
      <c r="P885" s="158"/>
      <c r="Q885" s="158"/>
      <c r="R885" s="158"/>
      <c r="S885" s="158"/>
      <c r="T885" s="158"/>
    </row>
    <row r="886">
      <c r="A886" s="152"/>
      <c r="B886" s="153"/>
      <c r="C886" s="152"/>
      <c r="D886" s="152"/>
      <c r="E886" s="154">
        <v>5136.0</v>
      </c>
      <c r="F886" s="152"/>
      <c r="G886" s="155"/>
      <c r="H886" s="153" t="s">
        <v>2803</v>
      </c>
      <c r="I886" s="153" t="s">
        <v>2219</v>
      </c>
      <c r="J886" s="156">
        <v>880.0</v>
      </c>
      <c r="K886" s="157" t="s">
        <v>2804</v>
      </c>
      <c r="L886" s="158" t="s">
        <v>2805</v>
      </c>
      <c r="M886" s="158"/>
      <c r="N886" s="158"/>
      <c r="O886" s="158"/>
      <c r="P886" s="158"/>
      <c r="Q886" s="158"/>
      <c r="R886" s="158"/>
      <c r="S886" s="158"/>
      <c r="T886" s="158"/>
    </row>
    <row r="887">
      <c r="A887" s="152"/>
      <c r="B887" s="153"/>
      <c r="C887" s="152"/>
      <c r="D887" s="152"/>
      <c r="E887" s="154">
        <v>5141.0</v>
      </c>
      <c r="F887" s="152"/>
      <c r="G887" s="155"/>
      <c r="H887" s="153" t="s">
        <v>2806</v>
      </c>
      <c r="I887" s="153" t="s">
        <v>2666</v>
      </c>
      <c r="J887" s="156">
        <v>881.0</v>
      </c>
      <c r="K887" s="157" t="s">
        <v>2807</v>
      </c>
      <c r="L887" s="153" t="s">
        <v>2808</v>
      </c>
      <c r="M887" s="153"/>
      <c r="N887" s="153"/>
      <c r="O887" s="153"/>
      <c r="P887" s="153"/>
      <c r="Q887" s="153"/>
      <c r="R887" s="153"/>
      <c r="S887" s="153"/>
      <c r="T887" s="153"/>
    </row>
    <row r="888">
      <c r="A888" s="152"/>
      <c r="B888" s="153"/>
      <c r="C888" s="152"/>
      <c r="D888" s="152"/>
      <c r="E888" s="154">
        <v>5142.0</v>
      </c>
      <c r="F888" s="152"/>
      <c r="G888" s="155"/>
      <c r="H888" s="153" t="s">
        <v>2809</v>
      </c>
      <c r="I888" s="153" t="s">
        <v>167</v>
      </c>
      <c r="J888" s="156">
        <v>882.0</v>
      </c>
      <c r="K888" s="157" t="s">
        <v>2810</v>
      </c>
      <c r="L888" s="158" t="s">
        <v>2811</v>
      </c>
      <c r="M888" s="158"/>
      <c r="N888" s="158"/>
      <c r="O888" s="158"/>
      <c r="P888" s="158"/>
      <c r="Q888" s="158"/>
      <c r="R888" s="158"/>
      <c r="S888" s="158"/>
      <c r="T888" s="158"/>
    </row>
    <row r="889">
      <c r="A889" s="152"/>
      <c r="B889" s="153"/>
      <c r="C889" s="152"/>
      <c r="D889" s="152"/>
      <c r="E889" s="154">
        <v>5143.0</v>
      </c>
      <c r="F889" s="152"/>
      <c r="G889" s="155"/>
      <c r="H889" s="153" t="s">
        <v>2812</v>
      </c>
      <c r="I889" s="153" t="s">
        <v>167</v>
      </c>
      <c r="J889" s="156">
        <v>883.0</v>
      </c>
      <c r="K889" s="157" t="s">
        <v>2813</v>
      </c>
      <c r="L889" s="158" t="s">
        <v>2814</v>
      </c>
      <c r="M889" s="158"/>
      <c r="N889" s="158"/>
      <c r="O889" s="158"/>
      <c r="P889" s="158"/>
      <c r="Q889" s="158"/>
      <c r="R889" s="158"/>
      <c r="S889" s="158"/>
      <c r="T889" s="158"/>
    </row>
    <row r="890">
      <c r="A890" s="152"/>
      <c r="B890" s="153"/>
      <c r="C890" s="152"/>
      <c r="D890" s="152"/>
      <c r="E890" s="154">
        <v>5144.0</v>
      </c>
      <c r="F890" s="152"/>
      <c r="G890" s="155"/>
      <c r="H890" s="153" t="s">
        <v>2815</v>
      </c>
      <c r="I890" s="153" t="s">
        <v>167</v>
      </c>
      <c r="J890" s="156">
        <v>884.0</v>
      </c>
      <c r="K890" s="157" t="s">
        <v>2816</v>
      </c>
      <c r="L890" s="158" t="s">
        <v>2817</v>
      </c>
      <c r="M890" s="158"/>
      <c r="N890" s="158"/>
      <c r="O890" s="158"/>
      <c r="P890" s="158"/>
      <c r="Q890" s="158"/>
      <c r="R890" s="158"/>
      <c r="S890" s="158"/>
      <c r="T890" s="158"/>
    </row>
    <row r="891">
      <c r="A891" s="152"/>
      <c r="B891" s="153"/>
      <c r="C891" s="152"/>
      <c r="D891" s="152"/>
      <c r="E891" s="154">
        <v>5145.0</v>
      </c>
      <c r="F891" s="152"/>
      <c r="G891" s="155"/>
      <c r="H891" s="153" t="s">
        <v>2818</v>
      </c>
      <c r="I891" s="153" t="s">
        <v>167</v>
      </c>
      <c r="J891" s="156">
        <v>885.0</v>
      </c>
      <c r="K891" s="157" t="s">
        <v>2819</v>
      </c>
      <c r="L891" s="158" t="s">
        <v>2820</v>
      </c>
      <c r="M891" s="158"/>
      <c r="N891" s="158"/>
      <c r="O891" s="158"/>
      <c r="P891" s="158"/>
      <c r="Q891" s="158"/>
      <c r="R891" s="158"/>
      <c r="S891" s="158"/>
      <c r="T891" s="158"/>
    </row>
    <row r="892">
      <c r="A892" s="152"/>
      <c r="B892" s="153"/>
      <c r="C892" s="152"/>
      <c r="D892" s="152"/>
      <c r="E892" s="154">
        <v>5146.0</v>
      </c>
      <c r="F892" s="152"/>
      <c r="G892" s="155"/>
      <c r="H892" s="153" t="s">
        <v>2821</v>
      </c>
      <c r="I892" s="153" t="s">
        <v>2710</v>
      </c>
      <c r="J892" s="156">
        <v>886.0</v>
      </c>
      <c r="K892" s="157" t="s">
        <v>2822</v>
      </c>
      <c r="L892" s="153" t="s">
        <v>2823</v>
      </c>
      <c r="M892" s="153"/>
      <c r="N892" s="153"/>
      <c r="O892" s="153"/>
      <c r="P892" s="153"/>
      <c r="Q892" s="153"/>
      <c r="R892" s="153"/>
      <c r="S892" s="153"/>
      <c r="T892" s="153"/>
    </row>
    <row r="893">
      <c r="A893" s="152"/>
      <c r="B893" s="153"/>
      <c r="C893" s="152"/>
      <c r="D893" s="152"/>
      <c r="E893" s="154">
        <v>5151.0</v>
      </c>
      <c r="F893" s="152"/>
      <c r="G893" s="155"/>
      <c r="H893" s="153" t="s">
        <v>2824</v>
      </c>
      <c r="I893" s="153" t="s">
        <v>246</v>
      </c>
      <c r="J893" s="156">
        <v>887.0</v>
      </c>
      <c r="K893" s="157" t="s">
        <v>2825</v>
      </c>
      <c r="L893" s="153" t="s">
        <v>2826</v>
      </c>
      <c r="M893" s="153"/>
      <c r="N893" s="153"/>
      <c r="O893" s="153"/>
      <c r="P893" s="153"/>
      <c r="Q893" s="153"/>
      <c r="R893" s="153"/>
      <c r="S893" s="153"/>
      <c r="T893" s="153"/>
    </row>
    <row r="894">
      <c r="A894" s="152"/>
      <c r="B894" s="153"/>
      <c r="C894" s="152"/>
      <c r="D894" s="152"/>
      <c r="E894" s="154">
        <v>5152.0</v>
      </c>
      <c r="F894" s="152"/>
      <c r="G894" s="155"/>
      <c r="H894" s="153" t="s">
        <v>2827</v>
      </c>
      <c r="I894" s="153" t="s">
        <v>167</v>
      </c>
      <c r="J894" s="156">
        <v>888.0</v>
      </c>
      <c r="K894" s="157" t="s">
        <v>2828</v>
      </c>
      <c r="L894" s="158" t="s">
        <v>2829</v>
      </c>
      <c r="M894" s="158"/>
      <c r="N894" s="158"/>
      <c r="O894" s="158"/>
      <c r="P894" s="158"/>
      <c r="Q894" s="158"/>
      <c r="R894" s="158"/>
      <c r="S894" s="158"/>
      <c r="T894" s="158"/>
    </row>
    <row r="895">
      <c r="A895" s="152"/>
      <c r="B895" s="153"/>
      <c r="C895" s="152"/>
      <c r="D895" s="152"/>
      <c r="E895" s="154">
        <v>5153.0</v>
      </c>
      <c r="F895" s="152"/>
      <c r="G895" s="155"/>
      <c r="H895" s="153" t="s">
        <v>2830</v>
      </c>
      <c r="I895" s="153" t="s">
        <v>167</v>
      </c>
      <c r="J895" s="156">
        <v>889.0</v>
      </c>
      <c r="K895" s="157" t="s">
        <v>2831</v>
      </c>
      <c r="L895" s="153" t="s">
        <v>2832</v>
      </c>
      <c r="M895" s="153"/>
      <c r="N895" s="153"/>
      <c r="O895" s="153"/>
      <c r="P895" s="153"/>
      <c r="Q895" s="153"/>
      <c r="R895" s="153"/>
      <c r="S895" s="153"/>
      <c r="T895" s="153"/>
    </row>
    <row r="896">
      <c r="A896" s="152"/>
      <c r="B896" s="153"/>
      <c r="C896" s="152"/>
      <c r="D896" s="152"/>
      <c r="E896" s="154">
        <v>5154.0</v>
      </c>
      <c r="F896" s="152"/>
      <c r="G896" s="155"/>
      <c r="H896" s="153" t="s">
        <v>2833</v>
      </c>
      <c r="I896" s="153" t="s">
        <v>167</v>
      </c>
      <c r="J896" s="156">
        <v>890.0</v>
      </c>
      <c r="K896" s="157" t="s">
        <v>2834</v>
      </c>
      <c r="L896" s="153" t="s">
        <v>2835</v>
      </c>
      <c r="M896" s="153"/>
      <c r="N896" s="153"/>
      <c r="O896" s="153"/>
      <c r="P896" s="153"/>
      <c r="Q896" s="153"/>
      <c r="R896" s="153"/>
      <c r="S896" s="153"/>
      <c r="T896" s="153"/>
    </row>
    <row r="897">
      <c r="A897" s="152"/>
      <c r="B897" s="153"/>
      <c r="C897" s="152"/>
      <c r="D897" s="152"/>
      <c r="E897" s="154">
        <v>5155.0</v>
      </c>
      <c r="F897" s="152"/>
      <c r="G897" s="155"/>
      <c r="H897" s="153" t="s">
        <v>2836</v>
      </c>
      <c r="I897" s="153" t="s">
        <v>2515</v>
      </c>
      <c r="J897" s="156">
        <v>891.0</v>
      </c>
      <c r="K897" s="157" t="s">
        <v>2837</v>
      </c>
      <c r="L897" s="153" t="s">
        <v>2838</v>
      </c>
      <c r="M897" s="153"/>
      <c r="N897" s="153"/>
      <c r="O897" s="153"/>
      <c r="P897" s="153"/>
      <c r="Q897" s="153"/>
      <c r="R897" s="153"/>
      <c r="S897" s="153"/>
      <c r="T897" s="153"/>
    </row>
    <row r="898">
      <c r="A898" s="152"/>
      <c r="B898" s="153"/>
      <c r="C898" s="152"/>
      <c r="D898" s="152"/>
      <c r="E898" s="154">
        <v>5156.0</v>
      </c>
      <c r="F898" s="152"/>
      <c r="G898" s="155"/>
      <c r="H898" s="153" t="s">
        <v>2839</v>
      </c>
      <c r="I898" s="153" t="s">
        <v>2219</v>
      </c>
      <c r="J898" s="156">
        <v>892.0</v>
      </c>
      <c r="K898" s="157" t="s">
        <v>2840</v>
      </c>
      <c r="L898" s="153" t="s">
        <v>2841</v>
      </c>
      <c r="M898" s="153"/>
      <c r="N898" s="153"/>
      <c r="O898" s="153"/>
      <c r="P898" s="153"/>
      <c r="Q898" s="153"/>
      <c r="R898" s="153"/>
      <c r="S898" s="153"/>
      <c r="T898" s="153"/>
    </row>
    <row r="899">
      <c r="A899" s="152"/>
      <c r="B899" s="153"/>
      <c r="C899" s="152"/>
      <c r="D899" s="152"/>
      <c r="E899" s="154">
        <v>5161.0</v>
      </c>
      <c r="F899" s="152"/>
      <c r="G899" s="155"/>
      <c r="H899" s="153" t="s">
        <v>2842</v>
      </c>
      <c r="I899" s="153" t="s">
        <v>246</v>
      </c>
      <c r="J899" s="156">
        <v>893.0</v>
      </c>
      <c r="K899" s="157" t="s">
        <v>2843</v>
      </c>
      <c r="L899" s="153" t="s">
        <v>2844</v>
      </c>
      <c r="M899" s="153"/>
      <c r="N899" s="153"/>
      <c r="O899" s="153"/>
      <c r="P899" s="153"/>
      <c r="Q899" s="153"/>
      <c r="R899" s="153"/>
      <c r="S899" s="153"/>
      <c r="T899" s="153"/>
    </row>
    <row r="900">
      <c r="A900" s="152"/>
      <c r="B900" s="153"/>
      <c r="C900" s="152"/>
      <c r="D900" s="152"/>
      <c r="E900" s="154">
        <v>5162.0</v>
      </c>
      <c r="F900" s="152"/>
      <c r="G900" s="155"/>
      <c r="H900" s="153" t="s">
        <v>2845</v>
      </c>
      <c r="I900" s="153" t="s">
        <v>246</v>
      </c>
      <c r="J900" s="156">
        <v>894.0</v>
      </c>
      <c r="K900" s="157" t="s">
        <v>2846</v>
      </c>
      <c r="L900" s="153" t="s">
        <v>2847</v>
      </c>
      <c r="M900" s="153"/>
      <c r="N900" s="153"/>
      <c r="O900" s="153"/>
      <c r="P900" s="153"/>
      <c r="Q900" s="153"/>
      <c r="R900" s="153"/>
      <c r="S900" s="153"/>
      <c r="T900" s="153"/>
    </row>
    <row r="901">
      <c r="A901" s="152"/>
      <c r="B901" s="153"/>
      <c r="C901" s="152"/>
      <c r="D901" s="152"/>
      <c r="E901" s="154">
        <v>5163.0</v>
      </c>
      <c r="F901" s="152"/>
      <c r="G901" s="155"/>
      <c r="H901" s="153" t="s">
        <v>2848</v>
      </c>
      <c r="I901" s="153" t="s">
        <v>2219</v>
      </c>
      <c r="J901" s="156">
        <v>895.0</v>
      </c>
      <c r="K901" s="157" t="s">
        <v>2849</v>
      </c>
      <c r="L901" s="153" t="s">
        <v>2850</v>
      </c>
      <c r="M901" s="153"/>
      <c r="N901" s="153"/>
      <c r="O901" s="153"/>
      <c r="P901" s="153"/>
      <c r="Q901" s="153"/>
      <c r="R901" s="153"/>
      <c r="S901" s="153"/>
      <c r="T901" s="153"/>
    </row>
    <row r="902">
      <c r="A902" s="152"/>
      <c r="B902" s="153"/>
      <c r="C902" s="152"/>
      <c r="D902" s="152"/>
      <c r="E902" s="154">
        <v>5164.0</v>
      </c>
      <c r="F902" s="152"/>
      <c r="G902" s="155"/>
      <c r="H902" s="153" t="s">
        <v>2851</v>
      </c>
      <c r="I902" s="153" t="s">
        <v>246</v>
      </c>
      <c r="J902" s="156">
        <v>896.0</v>
      </c>
      <c r="K902" s="157" t="s">
        <v>2852</v>
      </c>
      <c r="L902" s="153" t="s">
        <v>2853</v>
      </c>
      <c r="M902" s="153"/>
      <c r="N902" s="153"/>
      <c r="O902" s="153"/>
      <c r="P902" s="153"/>
      <c r="Q902" s="153"/>
      <c r="R902" s="153"/>
      <c r="S902" s="153"/>
      <c r="T902" s="153"/>
    </row>
    <row r="903">
      <c r="A903" s="152"/>
      <c r="B903" s="153"/>
      <c r="C903" s="152"/>
      <c r="D903" s="152"/>
      <c r="E903" s="154">
        <v>5165.0</v>
      </c>
      <c r="F903" s="152"/>
      <c r="G903" s="155"/>
      <c r="H903" s="153" t="s">
        <v>2854</v>
      </c>
      <c r="I903" s="153" t="s">
        <v>2219</v>
      </c>
      <c r="J903" s="156">
        <v>897.0</v>
      </c>
      <c r="K903" s="157" t="s">
        <v>2855</v>
      </c>
      <c r="L903" s="153" t="s">
        <v>2856</v>
      </c>
      <c r="M903" s="153"/>
      <c r="N903" s="153"/>
      <c r="O903" s="153"/>
      <c r="P903" s="153"/>
      <c r="Q903" s="153"/>
      <c r="R903" s="153"/>
      <c r="S903" s="153"/>
      <c r="T903" s="153"/>
    </row>
    <row r="904">
      <c r="A904" s="152"/>
      <c r="B904" s="153"/>
      <c r="C904" s="152"/>
      <c r="D904" s="152"/>
      <c r="E904" s="154">
        <v>5166.0</v>
      </c>
      <c r="F904" s="152"/>
      <c r="G904" s="155"/>
      <c r="H904" s="153" t="s">
        <v>2857</v>
      </c>
      <c r="I904" s="153" t="s">
        <v>246</v>
      </c>
      <c r="J904" s="156">
        <v>898.0</v>
      </c>
      <c r="K904" s="157" t="s">
        <v>2858</v>
      </c>
      <c r="L904" s="153" t="s">
        <v>2859</v>
      </c>
      <c r="M904" s="153"/>
      <c r="N904" s="153"/>
      <c r="O904" s="153"/>
      <c r="P904" s="153"/>
      <c r="Q904" s="153"/>
      <c r="R904" s="153"/>
      <c r="S904" s="153"/>
      <c r="T904" s="153"/>
    </row>
    <row r="905">
      <c r="A905" s="152"/>
      <c r="B905" s="153"/>
      <c r="C905" s="152"/>
      <c r="D905" s="152"/>
      <c r="E905" s="154">
        <v>5211.0</v>
      </c>
      <c r="F905" s="152"/>
      <c r="G905" s="155"/>
      <c r="H905" s="153" t="s">
        <v>2860</v>
      </c>
      <c r="I905" s="153" t="s">
        <v>434</v>
      </c>
      <c r="J905" s="156">
        <v>899.0</v>
      </c>
      <c r="K905" s="157" t="s">
        <v>2861</v>
      </c>
      <c r="L905" s="158" t="s">
        <v>2627</v>
      </c>
      <c r="M905" s="158"/>
      <c r="N905" s="158"/>
      <c r="O905" s="158"/>
      <c r="P905" s="158"/>
      <c r="Q905" s="158"/>
      <c r="R905" s="158"/>
      <c r="S905" s="158"/>
      <c r="T905" s="158"/>
    </row>
    <row r="906">
      <c r="A906" s="152"/>
      <c r="B906" s="153"/>
      <c r="C906" s="152"/>
      <c r="D906" s="152"/>
      <c r="E906" s="154">
        <v>5212.0</v>
      </c>
      <c r="F906" s="152"/>
      <c r="G906" s="155"/>
      <c r="H906" s="153" t="s">
        <v>2862</v>
      </c>
      <c r="I906" s="153" t="s">
        <v>434</v>
      </c>
      <c r="J906" s="156">
        <v>900.0</v>
      </c>
      <c r="K906" s="157" t="s">
        <v>2863</v>
      </c>
      <c r="L906" s="158" t="s">
        <v>2864</v>
      </c>
      <c r="M906" s="158"/>
      <c r="N906" s="158"/>
      <c r="O906" s="158"/>
      <c r="P906" s="158"/>
      <c r="Q906" s="158"/>
      <c r="R906" s="158"/>
      <c r="S906" s="158"/>
      <c r="T906" s="158"/>
    </row>
    <row r="907">
      <c r="A907" s="152"/>
      <c r="B907" s="153"/>
      <c r="C907" s="152"/>
      <c r="D907" s="152"/>
      <c r="E907" s="154">
        <v>5213.0</v>
      </c>
      <c r="F907" s="152"/>
      <c r="G907" s="155"/>
      <c r="H907" s="153" t="s">
        <v>2865</v>
      </c>
      <c r="I907" s="153" t="s">
        <v>434</v>
      </c>
      <c r="J907" s="156">
        <v>901.0</v>
      </c>
      <c r="K907" s="157" t="s">
        <v>2866</v>
      </c>
      <c r="L907" s="158" t="s">
        <v>2864</v>
      </c>
      <c r="M907" s="158"/>
      <c r="N907" s="158"/>
      <c r="O907" s="158"/>
      <c r="P907" s="158"/>
      <c r="Q907" s="158"/>
      <c r="R907" s="158"/>
      <c r="S907" s="158"/>
      <c r="T907" s="158"/>
    </row>
    <row r="908">
      <c r="A908" s="152"/>
      <c r="B908" s="153"/>
      <c r="C908" s="152"/>
      <c r="D908" s="152"/>
      <c r="E908" s="154">
        <v>5214.0</v>
      </c>
      <c r="F908" s="152"/>
      <c r="G908" s="155"/>
      <c r="H908" s="153" t="s">
        <v>2867</v>
      </c>
      <c r="I908" s="153" t="s">
        <v>246</v>
      </c>
      <c r="J908" s="156">
        <v>902.0</v>
      </c>
      <c r="K908" s="157" t="s">
        <v>2868</v>
      </c>
      <c r="L908" s="158" t="s">
        <v>2869</v>
      </c>
      <c r="M908" s="158"/>
      <c r="N908" s="158"/>
      <c r="O908" s="158"/>
      <c r="P908" s="158"/>
      <c r="Q908" s="158"/>
      <c r="R908" s="158"/>
      <c r="S908" s="158"/>
      <c r="T908" s="158"/>
    </row>
    <row r="909">
      <c r="A909" s="152"/>
      <c r="B909" s="153"/>
      <c r="C909" s="152"/>
      <c r="D909" s="152"/>
      <c r="E909" s="154">
        <v>5215.0</v>
      </c>
      <c r="F909" s="152"/>
      <c r="G909" s="155"/>
      <c r="H909" s="153" t="s">
        <v>2870</v>
      </c>
      <c r="I909" s="153" t="s">
        <v>2502</v>
      </c>
      <c r="J909" s="156">
        <v>903.0</v>
      </c>
      <c r="K909" s="157" t="s">
        <v>2871</v>
      </c>
      <c r="L909" s="158" t="s">
        <v>2872</v>
      </c>
      <c r="M909" s="158"/>
      <c r="N909" s="158"/>
      <c r="O909" s="158"/>
      <c r="P909" s="158"/>
      <c r="Q909" s="158"/>
      <c r="R909" s="158"/>
      <c r="S909" s="158"/>
      <c r="T909" s="158"/>
    </row>
    <row r="910">
      <c r="A910" s="152"/>
      <c r="B910" s="153"/>
      <c r="C910" s="152"/>
      <c r="D910" s="152"/>
      <c r="E910" s="154">
        <v>5216.0</v>
      </c>
      <c r="F910" s="152"/>
      <c r="G910" s="155"/>
      <c r="H910" s="153" t="s">
        <v>2873</v>
      </c>
      <c r="I910" s="153" t="s">
        <v>2666</v>
      </c>
      <c r="J910" s="156">
        <v>904.0</v>
      </c>
      <c r="K910" s="157" t="s">
        <v>2874</v>
      </c>
      <c r="L910" s="158" t="s">
        <v>2875</v>
      </c>
      <c r="M910" s="158"/>
      <c r="N910" s="158"/>
      <c r="O910" s="158"/>
      <c r="P910" s="158"/>
      <c r="Q910" s="158"/>
      <c r="R910" s="158"/>
      <c r="S910" s="158"/>
      <c r="T910" s="158"/>
    </row>
    <row r="911">
      <c r="A911" s="152"/>
      <c r="B911" s="153"/>
      <c r="C911" s="152"/>
      <c r="D911" s="152"/>
      <c r="E911" s="154">
        <v>5221.0</v>
      </c>
      <c r="F911" s="152"/>
      <c r="G911" s="155"/>
      <c r="H911" s="153" t="s">
        <v>2876</v>
      </c>
      <c r="I911" s="153" t="s">
        <v>167</v>
      </c>
      <c r="J911" s="156">
        <v>905.0</v>
      </c>
      <c r="K911" s="157" t="s">
        <v>2810</v>
      </c>
      <c r="L911" s="158" t="s">
        <v>2811</v>
      </c>
      <c r="M911" s="158"/>
      <c r="N911" s="158"/>
      <c r="O911" s="158"/>
      <c r="P911" s="158"/>
      <c r="Q911" s="158"/>
      <c r="R911" s="158"/>
      <c r="S911" s="158"/>
      <c r="T911" s="158"/>
    </row>
    <row r="912">
      <c r="A912" s="152"/>
      <c r="B912" s="153"/>
      <c r="C912" s="152"/>
      <c r="D912" s="152"/>
      <c r="E912" s="154">
        <v>5222.0</v>
      </c>
      <c r="F912" s="152"/>
      <c r="G912" s="155"/>
      <c r="H912" s="153" t="s">
        <v>2877</v>
      </c>
      <c r="I912" s="153" t="s">
        <v>167</v>
      </c>
      <c r="J912" s="156">
        <v>906.0</v>
      </c>
      <c r="K912" s="157" t="s">
        <v>2878</v>
      </c>
      <c r="L912" s="158" t="s">
        <v>2879</v>
      </c>
      <c r="M912" s="158"/>
      <c r="N912" s="158"/>
      <c r="O912" s="158"/>
      <c r="P912" s="158"/>
      <c r="Q912" s="158"/>
      <c r="R912" s="158"/>
      <c r="S912" s="158"/>
      <c r="T912" s="158"/>
    </row>
    <row r="913">
      <c r="A913" s="152"/>
      <c r="B913" s="153"/>
      <c r="C913" s="152"/>
      <c r="D913" s="152"/>
      <c r="E913" s="154">
        <v>5223.0</v>
      </c>
      <c r="F913" s="152"/>
      <c r="G913" s="155"/>
      <c r="H913" s="153" t="s">
        <v>2880</v>
      </c>
      <c r="I913" s="153" t="s">
        <v>2130</v>
      </c>
      <c r="J913" s="156">
        <v>907.0</v>
      </c>
      <c r="K913" s="157" t="s">
        <v>2881</v>
      </c>
      <c r="L913" s="153" t="s">
        <v>2882</v>
      </c>
      <c r="M913" s="153"/>
      <c r="N913" s="153"/>
      <c r="O913" s="153"/>
      <c r="P913" s="153"/>
      <c r="Q913" s="153"/>
      <c r="R913" s="153"/>
      <c r="S913" s="153"/>
      <c r="T913" s="153"/>
    </row>
    <row r="914">
      <c r="A914" s="152"/>
      <c r="B914" s="153"/>
      <c r="C914" s="152"/>
      <c r="D914" s="152"/>
      <c r="E914" s="154">
        <v>5224.0</v>
      </c>
      <c r="F914" s="152"/>
      <c r="G914" s="155"/>
      <c r="H914" s="153" t="s">
        <v>2883</v>
      </c>
      <c r="I914" s="153" t="s">
        <v>2502</v>
      </c>
      <c r="J914" s="156">
        <v>908.0</v>
      </c>
      <c r="K914" s="157" t="s">
        <v>2822</v>
      </c>
      <c r="L914" s="153" t="s">
        <v>2884</v>
      </c>
      <c r="M914" s="153"/>
      <c r="N914" s="153"/>
      <c r="O914" s="153"/>
      <c r="P914" s="153"/>
      <c r="Q914" s="153"/>
      <c r="R914" s="153"/>
      <c r="S914" s="153"/>
      <c r="T914" s="153"/>
    </row>
    <row r="915">
      <c r="A915" s="152"/>
      <c r="B915" s="153"/>
      <c r="C915" s="152"/>
      <c r="D915" s="152"/>
      <c r="E915" s="154">
        <v>5225.0</v>
      </c>
      <c r="F915" s="152"/>
      <c r="G915" s="155"/>
      <c r="H915" s="153" t="s">
        <v>2885</v>
      </c>
      <c r="I915" s="153" t="s">
        <v>246</v>
      </c>
      <c r="J915" s="156">
        <v>909.0</v>
      </c>
      <c r="K915" s="157" t="s">
        <v>2886</v>
      </c>
      <c r="L915" s="153" t="s">
        <v>2887</v>
      </c>
      <c r="M915" s="153"/>
      <c r="N915" s="153"/>
      <c r="O915" s="153"/>
      <c r="P915" s="153"/>
      <c r="Q915" s="153"/>
      <c r="R915" s="153"/>
      <c r="S915" s="153"/>
      <c r="T915" s="153"/>
    </row>
    <row r="916">
      <c r="A916" s="152"/>
      <c r="B916" s="153"/>
      <c r="C916" s="152"/>
      <c r="D916" s="152"/>
      <c r="E916" s="154">
        <v>5226.0</v>
      </c>
      <c r="F916" s="152"/>
      <c r="G916" s="155"/>
      <c r="H916" s="153" t="s">
        <v>2888</v>
      </c>
      <c r="I916" s="153" t="s">
        <v>246</v>
      </c>
      <c r="J916" s="156">
        <v>910.0</v>
      </c>
      <c r="K916" s="157" t="s">
        <v>2889</v>
      </c>
      <c r="L916" s="153" t="s">
        <v>2890</v>
      </c>
      <c r="M916" s="153"/>
      <c r="N916" s="153"/>
      <c r="O916" s="153"/>
      <c r="P916" s="153"/>
      <c r="Q916" s="153"/>
      <c r="R916" s="153"/>
      <c r="S916" s="153"/>
      <c r="T916" s="153"/>
    </row>
    <row r="917">
      <c r="A917" s="152"/>
      <c r="B917" s="153"/>
      <c r="C917" s="152"/>
      <c r="D917" s="152"/>
      <c r="E917" s="154">
        <v>5231.0</v>
      </c>
      <c r="F917" s="152"/>
      <c r="G917" s="155"/>
      <c r="H917" s="153" t="s">
        <v>2891</v>
      </c>
      <c r="I917" s="153" t="s">
        <v>230</v>
      </c>
      <c r="J917" s="156">
        <v>911.0</v>
      </c>
      <c r="K917" s="157" t="s">
        <v>2892</v>
      </c>
      <c r="L917" s="158" t="s">
        <v>2893</v>
      </c>
      <c r="M917" s="158"/>
      <c r="N917" s="158"/>
      <c r="O917" s="158"/>
      <c r="P917" s="158"/>
      <c r="Q917" s="158"/>
      <c r="R917" s="158"/>
      <c r="S917" s="158"/>
      <c r="T917" s="158"/>
    </row>
    <row r="918">
      <c r="A918" s="152"/>
      <c r="B918" s="153"/>
      <c r="C918" s="152"/>
      <c r="D918" s="152"/>
      <c r="E918" s="154">
        <v>5232.0</v>
      </c>
      <c r="F918" s="152"/>
      <c r="G918" s="155"/>
      <c r="H918" s="153" t="s">
        <v>2894</v>
      </c>
      <c r="I918" s="153" t="s">
        <v>246</v>
      </c>
      <c r="J918" s="156">
        <v>912.0</v>
      </c>
      <c r="K918" s="157" t="s">
        <v>2895</v>
      </c>
      <c r="L918" s="158" t="s">
        <v>2896</v>
      </c>
      <c r="M918" s="158"/>
      <c r="N918" s="158"/>
      <c r="O918" s="158"/>
      <c r="P918" s="158"/>
      <c r="Q918" s="158"/>
      <c r="R918" s="158"/>
      <c r="S918" s="158"/>
      <c r="T918" s="158"/>
    </row>
    <row r="919">
      <c r="A919" s="152"/>
      <c r="B919" s="153"/>
      <c r="C919" s="152"/>
      <c r="D919" s="152"/>
      <c r="E919" s="154">
        <v>5233.0</v>
      </c>
      <c r="F919" s="152"/>
      <c r="G919" s="155"/>
      <c r="H919" s="153" t="s">
        <v>2897</v>
      </c>
      <c r="I919" s="153" t="s">
        <v>246</v>
      </c>
      <c r="J919" s="156">
        <v>913.0</v>
      </c>
      <c r="K919" s="157" t="s">
        <v>2898</v>
      </c>
      <c r="L919" s="153" t="s">
        <v>2899</v>
      </c>
      <c r="M919" s="153"/>
      <c r="N919" s="153"/>
      <c r="O919" s="153"/>
      <c r="P919" s="153"/>
      <c r="Q919" s="153"/>
      <c r="R919" s="153"/>
      <c r="S919" s="153"/>
      <c r="T919" s="153"/>
    </row>
    <row r="920">
      <c r="A920" s="152"/>
      <c r="B920" s="153"/>
      <c r="C920" s="152"/>
      <c r="D920" s="152"/>
      <c r="E920" s="154">
        <v>5234.0</v>
      </c>
      <c r="F920" s="152"/>
      <c r="G920" s="155"/>
      <c r="H920" s="153" t="s">
        <v>2900</v>
      </c>
      <c r="I920" s="153" t="s">
        <v>2219</v>
      </c>
      <c r="J920" s="156">
        <v>914.0</v>
      </c>
      <c r="K920" s="157" t="s">
        <v>2901</v>
      </c>
      <c r="L920" s="153" t="s">
        <v>2841</v>
      </c>
      <c r="M920" s="153"/>
      <c r="N920" s="153"/>
      <c r="O920" s="153"/>
      <c r="P920" s="153"/>
      <c r="Q920" s="153"/>
      <c r="R920" s="153"/>
      <c r="S920" s="153"/>
      <c r="T920" s="153"/>
    </row>
    <row r="921">
      <c r="A921" s="152"/>
      <c r="B921" s="153"/>
      <c r="C921" s="152"/>
      <c r="D921" s="152"/>
      <c r="E921" s="154">
        <v>5235.0</v>
      </c>
      <c r="F921" s="152"/>
      <c r="G921" s="155"/>
      <c r="H921" s="153" t="s">
        <v>2902</v>
      </c>
      <c r="I921" s="153" t="s">
        <v>246</v>
      </c>
      <c r="J921" s="156">
        <v>915.0</v>
      </c>
      <c r="K921" s="157" t="s">
        <v>2903</v>
      </c>
      <c r="L921" s="158" t="s">
        <v>2896</v>
      </c>
      <c r="M921" s="158"/>
      <c r="N921" s="158"/>
      <c r="O921" s="158"/>
      <c r="P921" s="158"/>
      <c r="Q921" s="158"/>
      <c r="R921" s="158"/>
      <c r="S921" s="158"/>
      <c r="T921" s="158"/>
    </row>
    <row r="922">
      <c r="A922" s="152"/>
      <c r="B922" s="153"/>
      <c r="C922" s="152"/>
      <c r="D922" s="152"/>
      <c r="E922" s="154">
        <v>5236.0</v>
      </c>
      <c r="F922" s="152"/>
      <c r="G922" s="155"/>
      <c r="H922" s="153" t="s">
        <v>2904</v>
      </c>
      <c r="I922" s="153" t="s">
        <v>2219</v>
      </c>
      <c r="J922" s="156">
        <v>916.0</v>
      </c>
      <c r="K922" s="157" t="s">
        <v>2905</v>
      </c>
      <c r="L922" s="153" t="s">
        <v>2850</v>
      </c>
      <c r="M922" s="153"/>
      <c r="N922" s="153"/>
      <c r="O922" s="153"/>
      <c r="P922" s="153"/>
      <c r="Q922" s="153"/>
      <c r="R922" s="153"/>
      <c r="S922" s="153"/>
      <c r="T922" s="153"/>
    </row>
    <row r="923">
      <c r="A923" s="152"/>
      <c r="B923" s="153"/>
      <c r="C923" s="152"/>
      <c r="D923" s="152"/>
      <c r="E923" s="154">
        <v>5241.0</v>
      </c>
      <c r="F923" s="152"/>
      <c r="G923" s="155"/>
      <c r="H923" s="153" t="s">
        <v>2906</v>
      </c>
      <c r="I923" s="153" t="s">
        <v>246</v>
      </c>
      <c r="J923" s="156">
        <v>917.0</v>
      </c>
      <c r="K923" s="157" t="s">
        <v>2907</v>
      </c>
      <c r="L923" s="153" t="s">
        <v>2908</v>
      </c>
      <c r="M923" s="153"/>
      <c r="N923" s="153"/>
      <c r="O923" s="153"/>
      <c r="P923" s="153"/>
      <c r="Q923" s="153"/>
      <c r="R923" s="153"/>
      <c r="S923" s="153"/>
      <c r="T923" s="153"/>
    </row>
    <row r="924">
      <c r="A924" s="152"/>
      <c r="B924" s="153"/>
      <c r="C924" s="152"/>
      <c r="D924" s="152"/>
      <c r="E924" s="154">
        <v>5242.0</v>
      </c>
      <c r="F924" s="152"/>
      <c r="G924" s="155"/>
      <c r="H924" s="153" t="s">
        <v>2909</v>
      </c>
      <c r="I924" s="153" t="s">
        <v>230</v>
      </c>
      <c r="J924" s="156">
        <v>918.0</v>
      </c>
      <c r="K924" s="157" t="s">
        <v>2910</v>
      </c>
      <c r="L924" s="158" t="s">
        <v>2911</v>
      </c>
      <c r="M924" s="158"/>
      <c r="N924" s="158"/>
      <c r="O924" s="158"/>
      <c r="P924" s="158"/>
      <c r="Q924" s="158"/>
      <c r="R924" s="158"/>
      <c r="S924" s="158"/>
      <c r="T924" s="158"/>
    </row>
    <row r="925">
      <c r="A925" s="152"/>
      <c r="B925" s="153"/>
      <c r="C925" s="152"/>
      <c r="D925" s="152"/>
      <c r="E925" s="154">
        <v>5243.0</v>
      </c>
      <c r="F925" s="152"/>
      <c r="G925" s="155"/>
      <c r="H925" s="153" t="s">
        <v>2912</v>
      </c>
      <c r="I925" s="153" t="s">
        <v>608</v>
      </c>
      <c r="J925" s="156">
        <v>919.0</v>
      </c>
      <c r="K925" s="157" t="s">
        <v>2913</v>
      </c>
      <c r="L925" s="158" t="s">
        <v>2914</v>
      </c>
      <c r="M925" s="158"/>
      <c r="N925" s="158"/>
      <c r="O925" s="158"/>
      <c r="P925" s="158"/>
      <c r="Q925" s="158"/>
      <c r="R925" s="158"/>
      <c r="S925" s="158"/>
      <c r="T925" s="158"/>
    </row>
    <row r="926">
      <c r="A926" s="152"/>
      <c r="B926" s="153"/>
      <c r="C926" s="152"/>
      <c r="D926" s="152"/>
      <c r="E926" s="154">
        <v>5244.0</v>
      </c>
      <c r="F926" s="152"/>
      <c r="G926" s="155"/>
      <c r="H926" s="153" t="s">
        <v>2915</v>
      </c>
      <c r="I926" s="153" t="s">
        <v>2219</v>
      </c>
      <c r="J926" s="156">
        <v>920.0</v>
      </c>
      <c r="K926" s="157" t="s">
        <v>2916</v>
      </c>
      <c r="L926" s="158" t="s">
        <v>2917</v>
      </c>
      <c r="M926" s="158"/>
      <c r="N926" s="158"/>
      <c r="O926" s="158"/>
      <c r="P926" s="158"/>
      <c r="Q926" s="158"/>
      <c r="R926" s="158"/>
      <c r="S926" s="158"/>
      <c r="T926" s="158"/>
    </row>
    <row r="927">
      <c r="A927" s="152"/>
      <c r="B927" s="153"/>
      <c r="C927" s="152"/>
      <c r="D927" s="152"/>
      <c r="E927" s="154">
        <v>5245.0</v>
      </c>
      <c r="F927" s="152"/>
      <c r="G927" s="155"/>
      <c r="H927" s="153" t="s">
        <v>2918</v>
      </c>
      <c r="I927" s="153" t="s">
        <v>2710</v>
      </c>
      <c r="J927" s="156">
        <v>921.0</v>
      </c>
      <c r="K927" s="157" t="s">
        <v>2919</v>
      </c>
      <c r="L927" s="158" t="s">
        <v>2920</v>
      </c>
      <c r="M927" s="158"/>
      <c r="N927" s="158"/>
      <c r="O927" s="158"/>
      <c r="P927" s="158"/>
      <c r="Q927" s="158"/>
      <c r="R927" s="158"/>
      <c r="S927" s="158"/>
      <c r="T927" s="158"/>
    </row>
    <row r="928">
      <c r="A928" s="152"/>
      <c r="B928" s="153"/>
      <c r="C928" s="152"/>
      <c r="D928" s="152"/>
      <c r="E928" s="154">
        <v>5246.0</v>
      </c>
      <c r="F928" s="152"/>
      <c r="G928" s="155"/>
      <c r="H928" s="153" t="s">
        <v>2921</v>
      </c>
      <c r="I928" s="153" t="s">
        <v>453</v>
      </c>
      <c r="J928" s="156">
        <v>922.0</v>
      </c>
      <c r="K928" s="157" t="s">
        <v>2922</v>
      </c>
      <c r="L928" s="153" t="s">
        <v>2923</v>
      </c>
      <c r="M928" s="153"/>
      <c r="N928" s="153"/>
      <c r="O928" s="153"/>
      <c r="P928" s="153"/>
      <c r="Q928" s="153"/>
      <c r="R928" s="153"/>
      <c r="S928" s="153"/>
      <c r="T928" s="153"/>
    </row>
    <row r="929">
      <c r="A929" s="152"/>
      <c r="B929" s="153"/>
      <c r="C929" s="152"/>
      <c r="D929" s="152"/>
      <c r="E929" s="154">
        <v>5251.0</v>
      </c>
      <c r="F929" s="152"/>
      <c r="G929" s="155"/>
      <c r="H929" s="153" t="s">
        <v>2924</v>
      </c>
      <c r="I929" s="153" t="s">
        <v>2710</v>
      </c>
      <c r="J929" s="156">
        <v>923.0</v>
      </c>
      <c r="K929" s="157" t="s">
        <v>2925</v>
      </c>
      <c r="L929" s="153" t="s">
        <v>2926</v>
      </c>
      <c r="M929" s="153"/>
      <c r="N929" s="153"/>
      <c r="O929" s="153"/>
      <c r="P929" s="153"/>
      <c r="Q929" s="153"/>
      <c r="R929" s="153"/>
      <c r="S929" s="153"/>
      <c r="T929" s="153"/>
    </row>
    <row r="930">
      <c r="A930" s="152"/>
      <c r="B930" s="153"/>
      <c r="C930" s="152"/>
      <c r="D930" s="152"/>
      <c r="E930" s="154">
        <v>5252.0</v>
      </c>
      <c r="F930" s="152"/>
      <c r="G930" s="155"/>
      <c r="H930" s="153" t="s">
        <v>2927</v>
      </c>
      <c r="I930" s="153" t="s">
        <v>453</v>
      </c>
      <c r="J930" s="156">
        <v>924.0</v>
      </c>
      <c r="K930" s="157" t="s">
        <v>2928</v>
      </c>
      <c r="L930" s="153" t="s">
        <v>2929</v>
      </c>
      <c r="M930" s="153"/>
      <c r="N930" s="153"/>
      <c r="O930" s="153"/>
      <c r="P930" s="153"/>
      <c r="Q930" s="153"/>
      <c r="R930" s="153"/>
      <c r="S930" s="153"/>
      <c r="T930" s="153"/>
    </row>
    <row r="931">
      <c r="A931" s="152"/>
      <c r="B931" s="153"/>
      <c r="C931" s="152"/>
      <c r="D931" s="152"/>
      <c r="E931" s="154">
        <v>5253.0</v>
      </c>
      <c r="F931" s="152"/>
      <c r="G931" s="155"/>
      <c r="H931" s="153" t="s">
        <v>2930</v>
      </c>
      <c r="I931" s="153" t="s">
        <v>2710</v>
      </c>
      <c r="J931" s="156">
        <v>925.0</v>
      </c>
      <c r="K931" s="157" t="s">
        <v>2931</v>
      </c>
      <c r="L931" s="153" t="s">
        <v>2932</v>
      </c>
      <c r="M931" s="153"/>
      <c r="N931" s="153"/>
      <c r="O931" s="153"/>
      <c r="P931" s="153"/>
      <c r="Q931" s="153"/>
      <c r="R931" s="153"/>
      <c r="S931" s="153"/>
      <c r="T931" s="153"/>
    </row>
    <row r="932">
      <c r="A932" s="152"/>
      <c r="B932" s="153"/>
      <c r="C932" s="152"/>
      <c r="D932" s="152"/>
      <c r="E932" s="154">
        <v>5254.0</v>
      </c>
      <c r="F932" s="152"/>
      <c r="G932" s="155"/>
      <c r="H932" s="153" t="s">
        <v>2933</v>
      </c>
      <c r="I932" s="153" t="s">
        <v>2710</v>
      </c>
      <c r="J932" s="156">
        <v>926.0</v>
      </c>
      <c r="K932" s="157" t="s">
        <v>2934</v>
      </c>
      <c r="L932" s="153" t="s">
        <v>2932</v>
      </c>
      <c r="M932" s="153"/>
      <c r="N932" s="153"/>
      <c r="O932" s="153"/>
      <c r="P932" s="153"/>
      <c r="Q932" s="153"/>
      <c r="R932" s="153"/>
      <c r="S932" s="153"/>
      <c r="T932" s="153"/>
    </row>
    <row r="933">
      <c r="A933" s="152"/>
      <c r="B933" s="153"/>
      <c r="C933" s="152"/>
      <c r="D933" s="152"/>
      <c r="E933" s="154">
        <v>5255.0</v>
      </c>
      <c r="F933" s="152"/>
      <c r="G933" s="155"/>
      <c r="H933" s="153" t="s">
        <v>2935</v>
      </c>
      <c r="I933" s="153" t="s">
        <v>167</v>
      </c>
      <c r="J933" s="156">
        <v>927.0</v>
      </c>
      <c r="K933" s="157" t="s">
        <v>2936</v>
      </c>
      <c r="L933" s="158" t="s">
        <v>2937</v>
      </c>
      <c r="M933" s="158"/>
      <c r="N933" s="158"/>
      <c r="O933" s="158"/>
      <c r="P933" s="158"/>
      <c r="Q933" s="158"/>
      <c r="R933" s="158"/>
      <c r="S933" s="158"/>
      <c r="T933" s="158"/>
    </row>
    <row r="934">
      <c r="A934" s="152"/>
      <c r="B934" s="153"/>
      <c r="C934" s="152"/>
      <c r="D934" s="152"/>
      <c r="E934" s="154">
        <v>5256.0</v>
      </c>
      <c r="F934" s="152"/>
      <c r="G934" s="155"/>
      <c r="H934" s="153" t="s">
        <v>2938</v>
      </c>
      <c r="I934" s="153" t="s">
        <v>2219</v>
      </c>
      <c r="J934" s="156">
        <v>928.0</v>
      </c>
      <c r="K934" s="157" t="s">
        <v>2939</v>
      </c>
      <c r="L934" s="158" t="s">
        <v>2940</v>
      </c>
      <c r="M934" s="158"/>
      <c r="N934" s="158"/>
      <c r="O934" s="158"/>
      <c r="P934" s="158"/>
      <c r="Q934" s="158"/>
      <c r="R934" s="158"/>
      <c r="S934" s="158"/>
      <c r="T934" s="158"/>
    </row>
    <row r="935">
      <c r="A935" s="152"/>
      <c r="B935" s="153"/>
      <c r="C935" s="152"/>
      <c r="D935" s="152"/>
      <c r="E935" s="154">
        <v>5261.0</v>
      </c>
      <c r="F935" s="152"/>
      <c r="G935" s="155"/>
      <c r="H935" s="153" t="s">
        <v>2941</v>
      </c>
      <c r="I935" s="153" t="s">
        <v>2219</v>
      </c>
      <c r="J935" s="156">
        <v>929.0</v>
      </c>
      <c r="K935" s="157" t="s">
        <v>2942</v>
      </c>
      <c r="L935" s="153" t="s">
        <v>2943</v>
      </c>
      <c r="M935" s="153"/>
      <c r="N935" s="153"/>
      <c r="O935" s="153"/>
      <c r="P935" s="153"/>
      <c r="Q935" s="153"/>
      <c r="R935" s="153"/>
      <c r="S935" s="153"/>
      <c r="T935" s="153"/>
    </row>
    <row r="936">
      <c r="A936" s="152"/>
      <c r="B936" s="153"/>
      <c r="C936" s="152"/>
      <c r="D936" s="152"/>
      <c r="E936" s="154">
        <v>5262.0</v>
      </c>
      <c r="F936" s="152"/>
      <c r="G936" s="155"/>
      <c r="H936" s="153" t="s">
        <v>2944</v>
      </c>
      <c r="I936" s="153" t="s">
        <v>453</v>
      </c>
      <c r="J936" s="156">
        <v>930.0</v>
      </c>
      <c r="K936" s="157" t="s">
        <v>2945</v>
      </c>
      <c r="L936" s="158" t="s">
        <v>2946</v>
      </c>
      <c r="M936" s="158"/>
      <c r="N936" s="158"/>
      <c r="O936" s="158"/>
      <c r="P936" s="158"/>
      <c r="Q936" s="158"/>
      <c r="R936" s="158"/>
      <c r="S936" s="158"/>
      <c r="T936" s="158"/>
    </row>
    <row r="937">
      <c r="A937" s="152"/>
      <c r="B937" s="153"/>
      <c r="C937" s="152"/>
      <c r="D937" s="152"/>
      <c r="E937" s="154">
        <v>5263.0</v>
      </c>
      <c r="F937" s="152"/>
      <c r="G937" s="155"/>
      <c r="H937" s="153" t="s">
        <v>2947</v>
      </c>
      <c r="I937" s="153" t="s">
        <v>453</v>
      </c>
      <c r="J937" s="156">
        <v>931.0</v>
      </c>
      <c r="K937" s="157" t="s">
        <v>2948</v>
      </c>
      <c r="L937" s="153" t="s">
        <v>2721</v>
      </c>
      <c r="M937" s="153"/>
      <c r="N937" s="153"/>
      <c r="O937" s="153"/>
      <c r="P937" s="153"/>
      <c r="Q937" s="153"/>
      <c r="R937" s="153"/>
      <c r="S937" s="153"/>
      <c r="T937" s="153"/>
    </row>
    <row r="938">
      <c r="A938" s="152"/>
      <c r="B938" s="153"/>
      <c r="C938" s="152"/>
      <c r="D938" s="152"/>
      <c r="E938" s="154">
        <v>5264.0</v>
      </c>
      <c r="F938" s="152"/>
      <c r="G938" s="155"/>
      <c r="H938" s="153" t="s">
        <v>2949</v>
      </c>
      <c r="I938" s="153" t="s">
        <v>167</v>
      </c>
      <c r="J938" s="156">
        <v>932.0</v>
      </c>
      <c r="K938" s="157" t="s">
        <v>2950</v>
      </c>
      <c r="L938" s="158" t="s">
        <v>2951</v>
      </c>
      <c r="M938" s="158"/>
      <c r="N938" s="158"/>
      <c r="O938" s="158"/>
      <c r="P938" s="158"/>
      <c r="Q938" s="158"/>
      <c r="R938" s="158"/>
      <c r="S938" s="158"/>
      <c r="T938" s="158"/>
    </row>
    <row r="939">
      <c r="A939" s="152"/>
      <c r="B939" s="153"/>
      <c r="C939" s="152"/>
      <c r="D939" s="152"/>
      <c r="E939" s="154">
        <v>5265.0</v>
      </c>
      <c r="F939" s="152"/>
      <c r="G939" s="155"/>
      <c r="H939" s="153" t="s">
        <v>2952</v>
      </c>
      <c r="I939" s="153" t="s">
        <v>1604</v>
      </c>
      <c r="J939" s="156">
        <v>933.0</v>
      </c>
      <c r="K939" s="157" t="s">
        <v>2953</v>
      </c>
      <c r="L939" s="153" t="s">
        <v>2954</v>
      </c>
      <c r="M939" s="153"/>
      <c r="N939" s="153"/>
      <c r="O939" s="153"/>
      <c r="P939" s="153"/>
      <c r="Q939" s="153"/>
      <c r="R939" s="153"/>
      <c r="S939" s="153"/>
      <c r="T939" s="153"/>
    </row>
    <row r="940">
      <c r="A940" s="152"/>
      <c r="B940" s="153"/>
      <c r="C940" s="152"/>
      <c r="D940" s="152"/>
      <c r="E940" s="154">
        <v>5266.0</v>
      </c>
      <c r="F940" s="152"/>
      <c r="G940" s="155"/>
      <c r="H940" s="153" t="s">
        <v>2955</v>
      </c>
      <c r="I940" s="153" t="s">
        <v>2710</v>
      </c>
      <c r="J940" s="156">
        <v>934.0</v>
      </c>
      <c r="K940" s="157" t="s">
        <v>2956</v>
      </c>
      <c r="L940" s="153" t="s">
        <v>2932</v>
      </c>
      <c r="M940" s="153"/>
      <c r="N940" s="153"/>
      <c r="O940" s="153"/>
      <c r="P940" s="153"/>
      <c r="Q940" s="153"/>
      <c r="R940" s="153"/>
      <c r="S940" s="153"/>
      <c r="T940" s="153"/>
    </row>
    <row r="941">
      <c r="A941" s="152"/>
      <c r="B941" s="153"/>
      <c r="C941" s="152"/>
      <c r="D941" s="152"/>
      <c r="E941" s="154">
        <v>5311.0</v>
      </c>
      <c r="F941" s="152"/>
      <c r="G941" s="155"/>
      <c r="H941" s="153" t="s">
        <v>2957</v>
      </c>
      <c r="I941" s="153" t="s">
        <v>156</v>
      </c>
      <c r="J941" s="156">
        <v>935.0</v>
      </c>
      <c r="K941" s="157" t="s">
        <v>2958</v>
      </c>
      <c r="L941" s="153" t="s">
        <v>2959</v>
      </c>
      <c r="M941" s="153"/>
      <c r="N941" s="153"/>
      <c r="O941" s="153"/>
      <c r="P941" s="153"/>
      <c r="Q941" s="153"/>
      <c r="R941" s="153"/>
      <c r="S941" s="153"/>
      <c r="T941" s="153"/>
    </row>
    <row r="942">
      <c r="A942" s="152"/>
      <c r="B942" s="153"/>
      <c r="C942" s="152"/>
      <c r="D942" s="152"/>
      <c r="E942" s="154">
        <v>5312.0</v>
      </c>
      <c r="F942" s="152"/>
      <c r="G942" s="155"/>
      <c r="H942" s="153" t="s">
        <v>2960</v>
      </c>
      <c r="I942" s="153" t="s">
        <v>2219</v>
      </c>
      <c r="J942" s="156">
        <v>936.0</v>
      </c>
      <c r="K942" s="157" t="s">
        <v>2961</v>
      </c>
      <c r="L942" s="158" t="s">
        <v>2917</v>
      </c>
      <c r="M942" s="158"/>
      <c r="N942" s="158"/>
      <c r="O942" s="158"/>
      <c r="P942" s="158"/>
      <c r="Q942" s="158"/>
      <c r="R942" s="158"/>
      <c r="S942" s="158"/>
      <c r="T942" s="158"/>
    </row>
    <row r="943">
      <c r="A943" s="152"/>
      <c r="B943" s="153"/>
      <c r="C943" s="152"/>
      <c r="D943" s="152"/>
      <c r="E943" s="154">
        <v>5313.0</v>
      </c>
      <c r="F943" s="152"/>
      <c r="G943" s="155"/>
      <c r="H943" s="153" t="s">
        <v>2962</v>
      </c>
      <c r="I943" s="153" t="s">
        <v>167</v>
      </c>
      <c r="J943" s="156">
        <v>937.0</v>
      </c>
      <c r="K943" s="157" t="s">
        <v>2963</v>
      </c>
      <c r="L943" s="158" t="s">
        <v>2964</v>
      </c>
      <c r="M943" s="158"/>
      <c r="N943" s="158"/>
      <c r="O943" s="158"/>
      <c r="P943" s="158"/>
      <c r="Q943" s="158"/>
      <c r="R943" s="158"/>
      <c r="S943" s="158"/>
      <c r="T943" s="158"/>
    </row>
    <row r="944">
      <c r="A944" s="152"/>
      <c r="B944" s="153"/>
      <c r="C944" s="152"/>
      <c r="D944" s="152"/>
      <c r="E944" s="154">
        <v>5314.0</v>
      </c>
      <c r="F944" s="152"/>
      <c r="G944" s="155"/>
      <c r="H944" s="153" t="s">
        <v>2965</v>
      </c>
      <c r="I944" s="153" t="s">
        <v>2710</v>
      </c>
      <c r="J944" s="156">
        <v>938.0</v>
      </c>
      <c r="K944" s="157" t="s">
        <v>2966</v>
      </c>
      <c r="L944" s="158" t="s">
        <v>2967</v>
      </c>
      <c r="M944" s="158"/>
      <c r="N944" s="158"/>
      <c r="O944" s="158"/>
      <c r="P944" s="158"/>
      <c r="Q944" s="158"/>
      <c r="R944" s="158"/>
      <c r="S944" s="158"/>
      <c r="T944" s="158"/>
    </row>
    <row r="945">
      <c r="A945" s="152"/>
      <c r="B945" s="153"/>
      <c r="C945" s="152"/>
      <c r="D945" s="152"/>
      <c r="E945" s="154">
        <v>5315.0</v>
      </c>
      <c r="F945" s="152"/>
      <c r="G945" s="155"/>
      <c r="H945" s="153" t="s">
        <v>2968</v>
      </c>
      <c r="I945" s="153" t="s">
        <v>2130</v>
      </c>
      <c r="J945" s="156">
        <v>939.0</v>
      </c>
      <c r="K945" s="157" t="s">
        <v>2969</v>
      </c>
      <c r="L945" s="158" t="s">
        <v>2970</v>
      </c>
      <c r="M945" s="158"/>
      <c r="N945" s="158"/>
      <c r="O945" s="158"/>
      <c r="P945" s="158"/>
      <c r="Q945" s="158"/>
      <c r="R945" s="158"/>
      <c r="S945" s="158"/>
      <c r="T945" s="158"/>
    </row>
    <row r="946">
      <c r="A946" s="152"/>
      <c r="B946" s="153"/>
      <c r="C946" s="152"/>
      <c r="D946" s="152"/>
      <c r="E946" s="154">
        <v>5316.0</v>
      </c>
      <c r="F946" s="152"/>
      <c r="G946" s="155"/>
      <c r="H946" s="153" t="s">
        <v>2971</v>
      </c>
      <c r="I946" s="153" t="s">
        <v>1604</v>
      </c>
      <c r="J946" s="156">
        <v>940.0</v>
      </c>
      <c r="K946" s="157" t="s">
        <v>2972</v>
      </c>
      <c r="L946" s="153" t="s">
        <v>2973</v>
      </c>
      <c r="M946" s="153"/>
      <c r="N946" s="153"/>
      <c r="O946" s="153"/>
      <c r="P946" s="153"/>
      <c r="Q946" s="153"/>
      <c r="R946" s="153"/>
      <c r="S946" s="153"/>
      <c r="T946" s="153"/>
    </row>
    <row r="947">
      <c r="A947" s="152"/>
      <c r="B947" s="153"/>
      <c r="C947" s="152"/>
      <c r="D947" s="152"/>
      <c r="E947" s="154">
        <v>5321.0</v>
      </c>
      <c r="F947" s="152"/>
      <c r="G947" s="155"/>
      <c r="H947" s="153" t="s">
        <v>2974</v>
      </c>
      <c r="I947" s="153" t="s">
        <v>167</v>
      </c>
      <c r="J947" s="156">
        <v>941.0</v>
      </c>
      <c r="K947" s="157" t="s">
        <v>2975</v>
      </c>
      <c r="L947" s="153" t="s">
        <v>2743</v>
      </c>
      <c r="M947" s="153"/>
      <c r="N947" s="153"/>
      <c r="O947" s="153"/>
      <c r="P947" s="153"/>
      <c r="Q947" s="153"/>
      <c r="R947" s="153"/>
      <c r="S947" s="153"/>
      <c r="T947" s="153"/>
    </row>
    <row r="948">
      <c r="A948" s="152"/>
      <c r="B948" s="153"/>
      <c r="C948" s="152"/>
      <c r="D948" s="152"/>
      <c r="E948" s="154">
        <v>5322.0</v>
      </c>
      <c r="F948" s="152"/>
      <c r="G948" s="155"/>
      <c r="H948" s="153" t="s">
        <v>2976</v>
      </c>
      <c r="I948" s="153" t="s">
        <v>167</v>
      </c>
      <c r="J948" s="156">
        <v>942.0</v>
      </c>
      <c r="K948" s="157" t="s">
        <v>2977</v>
      </c>
      <c r="L948" s="158" t="s">
        <v>2978</v>
      </c>
      <c r="M948" s="158"/>
      <c r="N948" s="158"/>
      <c r="O948" s="158"/>
      <c r="P948" s="158"/>
      <c r="Q948" s="158"/>
      <c r="R948" s="158"/>
      <c r="S948" s="158"/>
      <c r="T948" s="158"/>
    </row>
    <row r="949">
      <c r="A949" s="152"/>
      <c r="B949" s="153"/>
      <c r="C949" s="152"/>
      <c r="D949" s="152"/>
      <c r="E949" s="154">
        <v>5323.0</v>
      </c>
      <c r="F949" s="152"/>
      <c r="G949" s="155"/>
      <c r="H949" s="153" t="s">
        <v>2979</v>
      </c>
      <c r="I949" s="153" t="s">
        <v>167</v>
      </c>
      <c r="J949" s="156">
        <v>943.0</v>
      </c>
      <c r="K949" s="157" t="s">
        <v>2980</v>
      </c>
      <c r="L949" s="153" t="s">
        <v>2981</v>
      </c>
      <c r="M949" s="153"/>
      <c r="N949" s="153"/>
      <c r="O949" s="153"/>
      <c r="P949" s="153"/>
      <c r="Q949" s="153"/>
      <c r="R949" s="153"/>
      <c r="S949" s="153"/>
      <c r="T949" s="153"/>
    </row>
    <row r="950">
      <c r="A950" s="152"/>
      <c r="B950" s="153"/>
      <c r="C950" s="152"/>
      <c r="D950" s="152"/>
      <c r="E950" s="154">
        <v>5324.0</v>
      </c>
      <c r="F950" s="152"/>
      <c r="G950" s="155"/>
      <c r="H950" s="153" t="s">
        <v>2982</v>
      </c>
      <c r="I950" s="153" t="s">
        <v>2130</v>
      </c>
      <c r="J950" s="156">
        <v>944.0</v>
      </c>
      <c r="K950" s="157" t="s">
        <v>2983</v>
      </c>
      <c r="L950" s="153" t="s">
        <v>2984</v>
      </c>
      <c r="M950" s="153"/>
      <c r="N950" s="153"/>
      <c r="O950" s="153"/>
      <c r="P950" s="153"/>
      <c r="Q950" s="153"/>
      <c r="R950" s="153"/>
      <c r="S950" s="153"/>
      <c r="T950" s="153"/>
    </row>
    <row r="951">
      <c r="A951" s="152"/>
      <c r="B951" s="153"/>
      <c r="C951" s="152"/>
      <c r="D951" s="152"/>
      <c r="E951" s="154">
        <v>5325.0</v>
      </c>
      <c r="F951" s="152"/>
      <c r="G951" s="155"/>
      <c r="H951" s="153" t="s">
        <v>2985</v>
      </c>
      <c r="I951" s="153" t="s">
        <v>156</v>
      </c>
      <c r="J951" s="156">
        <v>945.0</v>
      </c>
      <c r="K951" s="157" t="s">
        <v>2986</v>
      </c>
      <c r="L951" s="153" t="s">
        <v>2987</v>
      </c>
      <c r="M951" s="153"/>
      <c r="N951" s="153"/>
      <c r="O951" s="153"/>
      <c r="P951" s="153"/>
      <c r="Q951" s="153"/>
      <c r="R951" s="153"/>
      <c r="S951" s="153"/>
      <c r="T951" s="153"/>
    </row>
    <row r="952">
      <c r="A952" s="152"/>
      <c r="B952" s="153"/>
      <c r="C952" s="152"/>
      <c r="D952" s="152"/>
      <c r="E952" s="154">
        <v>5326.0</v>
      </c>
      <c r="F952" s="152"/>
      <c r="G952" s="155"/>
      <c r="H952" s="153" t="s">
        <v>2988</v>
      </c>
      <c r="I952" s="153" t="s">
        <v>2130</v>
      </c>
      <c r="J952" s="156">
        <v>946.0</v>
      </c>
      <c r="K952" s="157" t="s">
        <v>2989</v>
      </c>
      <c r="L952" s="153" t="s">
        <v>2990</v>
      </c>
      <c r="M952" s="153"/>
      <c r="N952" s="153"/>
      <c r="O952" s="153"/>
      <c r="P952" s="153"/>
      <c r="Q952" s="153"/>
      <c r="R952" s="153"/>
      <c r="S952" s="153"/>
      <c r="T952" s="153"/>
    </row>
    <row r="953">
      <c r="A953" s="152"/>
      <c r="B953" s="153"/>
      <c r="C953" s="152"/>
      <c r="D953" s="152"/>
      <c r="E953" s="154">
        <v>5331.0</v>
      </c>
      <c r="F953" s="152"/>
      <c r="G953" s="155"/>
      <c r="H953" s="153" t="s">
        <v>2991</v>
      </c>
      <c r="I953" s="153" t="s">
        <v>156</v>
      </c>
      <c r="J953" s="156">
        <v>947.0</v>
      </c>
      <c r="K953" s="157" t="s">
        <v>2992</v>
      </c>
      <c r="L953" s="153" t="s">
        <v>2993</v>
      </c>
      <c r="M953" s="153"/>
      <c r="N953" s="153"/>
      <c r="O953" s="153"/>
      <c r="P953" s="153"/>
      <c r="Q953" s="153"/>
      <c r="R953" s="153"/>
      <c r="S953" s="153"/>
      <c r="T953" s="153"/>
    </row>
    <row r="954">
      <c r="A954" s="152"/>
      <c r="B954" s="153"/>
      <c r="C954" s="152"/>
      <c r="D954" s="152"/>
      <c r="E954" s="154">
        <v>5332.0</v>
      </c>
      <c r="F954" s="152"/>
      <c r="G954" s="155"/>
      <c r="H954" s="153" t="s">
        <v>2994</v>
      </c>
      <c r="I954" s="153" t="s">
        <v>156</v>
      </c>
      <c r="J954" s="156">
        <v>948.0</v>
      </c>
      <c r="K954" s="157" t="s">
        <v>2995</v>
      </c>
      <c r="L954" s="158" t="s">
        <v>2996</v>
      </c>
      <c r="M954" s="158"/>
      <c r="N954" s="158"/>
      <c r="O954" s="158"/>
      <c r="P954" s="158"/>
      <c r="Q954" s="158"/>
      <c r="R954" s="158"/>
      <c r="S954" s="158"/>
      <c r="T954" s="158"/>
    </row>
    <row r="955">
      <c r="A955" s="152"/>
      <c r="B955" s="153"/>
      <c r="C955" s="152"/>
      <c r="D955" s="152"/>
      <c r="E955" s="154">
        <v>5333.0</v>
      </c>
      <c r="F955" s="152"/>
      <c r="G955" s="155"/>
      <c r="H955" s="153" t="s">
        <v>2997</v>
      </c>
      <c r="I955" s="153" t="s">
        <v>2998</v>
      </c>
      <c r="J955" s="156">
        <v>949.0</v>
      </c>
      <c r="K955" s="157" t="s">
        <v>2999</v>
      </c>
      <c r="L955" s="158" t="s">
        <v>3000</v>
      </c>
      <c r="M955" s="158"/>
      <c r="N955" s="158"/>
      <c r="O955" s="158"/>
      <c r="P955" s="158"/>
      <c r="Q955" s="158"/>
      <c r="R955" s="158"/>
      <c r="S955" s="158"/>
      <c r="T955" s="158"/>
    </row>
    <row r="956">
      <c r="A956" s="152"/>
      <c r="B956" s="153"/>
      <c r="C956" s="152"/>
      <c r="D956" s="152"/>
      <c r="E956" s="154">
        <v>5334.0</v>
      </c>
      <c r="F956" s="152"/>
      <c r="G956" s="155"/>
      <c r="H956" s="153" t="s">
        <v>3001</v>
      </c>
      <c r="I956" s="153" t="s">
        <v>167</v>
      </c>
      <c r="J956" s="156">
        <v>950.0</v>
      </c>
      <c r="K956" s="157" t="s">
        <v>3002</v>
      </c>
      <c r="L956" s="153" t="s">
        <v>3003</v>
      </c>
      <c r="M956" s="153"/>
      <c r="N956" s="153"/>
      <c r="O956" s="153"/>
      <c r="P956" s="153"/>
      <c r="Q956" s="153"/>
      <c r="R956" s="153"/>
      <c r="S956" s="153"/>
      <c r="T956" s="153"/>
    </row>
    <row r="957">
      <c r="A957" s="152"/>
      <c r="B957" s="153"/>
      <c r="C957" s="152"/>
      <c r="D957" s="152"/>
      <c r="E957" s="154">
        <v>5335.0</v>
      </c>
      <c r="F957" s="152"/>
      <c r="G957" s="155"/>
      <c r="H957" s="153" t="s">
        <v>3004</v>
      </c>
      <c r="I957" s="153" t="s">
        <v>167</v>
      </c>
      <c r="J957" s="156">
        <v>951.0</v>
      </c>
      <c r="K957" s="157" t="s">
        <v>3005</v>
      </c>
      <c r="L957" s="153" t="s">
        <v>3006</v>
      </c>
      <c r="M957" s="153"/>
      <c r="N957" s="153"/>
      <c r="O957" s="153"/>
      <c r="P957" s="153"/>
      <c r="Q957" s="153"/>
      <c r="R957" s="153"/>
      <c r="S957" s="153"/>
      <c r="T957" s="153"/>
    </row>
    <row r="958">
      <c r="A958" s="152"/>
      <c r="B958" s="153"/>
      <c r="C958" s="152"/>
      <c r="D958" s="152"/>
      <c r="E958" s="154">
        <v>5336.0</v>
      </c>
      <c r="F958" s="152"/>
      <c r="G958" s="155"/>
      <c r="H958" s="153" t="s">
        <v>3007</v>
      </c>
      <c r="I958" s="153" t="s">
        <v>1084</v>
      </c>
      <c r="J958" s="156">
        <v>952.0</v>
      </c>
      <c r="K958" s="157" t="s">
        <v>3008</v>
      </c>
      <c r="L958" s="153" t="s">
        <v>3009</v>
      </c>
      <c r="M958" s="153"/>
      <c r="N958" s="153"/>
      <c r="O958" s="153"/>
      <c r="P958" s="153"/>
      <c r="Q958" s="153"/>
      <c r="R958" s="153"/>
      <c r="S958" s="153"/>
      <c r="T958" s="153"/>
    </row>
    <row r="959">
      <c r="A959" s="152"/>
      <c r="B959" s="153"/>
      <c r="C959" s="152"/>
      <c r="D959" s="152"/>
      <c r="E959" s="154">
        <v>5341.0</v>
      </c>
      <c r="F959" s="152"/>
      <c r="G959" s="155"/>
      <c r="H959" s="153" t="s">
        <v>3010</v>
      </c>
      <c r="I959" s="153" t="s">
        <v>434</v>
      </c>
      <c r="J959" s="156">
        <v>953.0</v>
      </c>
      <c r="K959" s="157" t="s">
        <v>3011</v>
      </c>
      <c r="L959" s="158" t="s">
        <v>3012</v>
      </c>
      <c r="M959" s="158"/>
      <c r="N959" s="158"/>
      <c r="O959" s="158"/>
      <c r="P959" s="158"/>
      <c r="Q959" s="158"/>
      <c r="R959" s="158"/>
      <c r="S959" s="158"/>
      <c r="T959" s="158"/>
    </row>
    <row r="960">
      <c r="A960" s="152"/>
      <c r="B960" s="153"/>
      <c r="C960" s="152"/>
      <c r="D960" s="152"/>
      <c r="E960" s="154">
        <v>5342.0</v>
      </c>
      <c r="F960" s="152"/>
      <c r="G960" s="155"/>
      <c r="H960" s="153" t="s">
        <v>3013</v>
      </c>
      <c r="I960" s="153" t="s">
        <v>3014</v>
      </c>
      <c r="J960" s="156">
        <v>954.0</v>
      </c>
      <c r="K960" s="157" t="s">
        <v>3008</v>
      </c>
      <c r="L960" s="153" t="s">
        <v>3015</v>
      </c>
      <c r="M960" s="153"/>
      <c r="N960" s="153"/>
      <c r="O960" s="153"/>
      <c r="P960" s="153"/>
      <c r="Q960" s="153"/>
      <c r="R960" s="153"/>
      <c r="S960" s="153"/>
      <c r="T960" s="153"/>
    </row>
    <row r="961">
      <c r="A961" s="152"/>
      <c r="B961" s="153"/>
      <c r="C961" s="152"/>
      <c r="D961" s="152"/>
      <c r="E961" s="154">
        <v>5343.0</v>
      </c>
      <c r="F961" s="152"/>
      <c r="G961" s="155"/>
      <c r="H961" s="153" t="s">
        <v>3016</v>
      </c>
      <c r="I961" s="153" t="s">
        <v>434</v>
      </c>
      <c r="J961" s="156">
        <v>955.0</v>
      </c>
      <c r="K961" s="157" t="s">
        <v>3017</v>
      </c>
      <c r="L961" s="158" t="s">
        <v>3012</v>
      </c>
      <c r="M961" s="158"/>
      <c r="N961" s="158"/>
      <c r="O961" s="158"/>
      <c r="P961" s="158"/>
      <c r="Q961" s="158"/>
      <c r="R961" s="158"/>
      <c r="S961" s="158"/>
      <c r="T961" s="158"/>
    </row>
    <row r="962">
      <c r="A962" s="152"/>
      <c r="B962" s="153"/>
      <c r="C962" s="152"/>
      <c r="D962" s="152"/>
      <c r="E962" s="154">
        <v>5344.0</v>
      </c>
      <c r="F962" s="152"/>
      <c r="G962" s="155"/>
      <c r="H962" s="153" t="s">
        <v>3018</v>
      </c>
      <c r="I962" s="153" t="s">
        <v>608</v>
      </c>
      <c r="J962" s="156">
        <v>956.0</v>
      </c>
      <c r="K962" s="157" t="s">
        <v>3019</v>
      </c>
      <c r="L962" s="153" t="s">
        <v>3020</v>
      </c>
      <c r="M962" s="153"/>
      <c r="N962" s="153"/>
      <c r="O962" s="153"/>
      <c r="P962" s="153"/>
      <c r="Q962" s="153"/>
      <c r="R962" s="153"/>
      <c r="S962" s="153"/>
      <c r="T962" s="153"/>
    </row>
    <row r="963">
      <c r="A963" s="152"/>
      <c r="B963" s="153"/>
      <c r="C963" s="152"/>
      <c r="D963" s="152"/>
      <c r="E963" s="154">
        <v>5345.0</v>
      </c>
      <c r="F963" s="152"/>
      <c r="G963" s="155"/>
      <c r="H963" s="153" t="s">
        <v>3021</v>
      </c>
      <c r="I963" s="153" t="s">
        <v>608</v>
      </c>
      <c r="J963" s="156">
        <v>957.0</v>
      </c>
      <c r="K963" s="157" t="s">
        <v>3022</v>
      </c>
      <c r="L963" s="153" t="s">
        <v>3023</v>
      </c>
      <c r="M963" s="153"/>
      <c r="N963" s="153"/>
      <c r="O963" s="153"/>
      <c r="P963" s="153"/>
      <c r="Q963" s="153"/>
      <c r="R963" s="153"/>
      <c r="S963" s="153"/>
      <c r="T963" s="153"/>
    </row>
    <row r="964">
      <c r="A964" s="152"/>
      <c r="B964" s="153"/>
      <c r="C964" s="152"/>
      <c r="D964" s="152"/>
      <c r="E964" s="154">
        <v>5346.0</v>
      </c>
      <c r="F964" s="152"/>
      <c r="G964" s="155"/>
      <c r="H964" s="153" t="s">
        <v>3024</v>
      </c>
      <c r="I964" s="153" t="s">
        <v>2130</v>
      </c>
      <c r="J964" s="156">
        <v>958.0</v>
      </c>
      <c r="K964" s="157" t="s">
        <v>3025</v>
      </c>
      <c r="L964" s="153" t="s">
        <v>3026</v>
      </c>
      <c r="M964" s="153"/>
      <c r="N964" s="153"/>
      <c r="O964" s="153"/>
      <c r="P964" s="153"/>
      <c r="Q964" s="153"/>
      <c r="R964" s="153"/>
      <c r="S964" s="153"/>
      <c r="T964" s="153"/>
    </row>
    <row r="965">
      <c r="A965" s="152"/>
      <c r="B965" s="153"/>
      <c r="C965" s="152"/>
      <c r="D965" s="152"/>
      <c r="E965" s="154">
        <v>5351.0</v>
      </c>
      <c r="F965" s="152"/>
      <c r="G965" s="155"/>
      <c r="H965" s="153" t="s">
        <v>3027</v>
      </c>
      <c r="I965" s="153" t="s">
        <v>1604</v>
      </c>
      <c r="J965" s="156">
        <v>959.0</v>
      </c>
      <c r="K965" s="157" t="s">
        <v>3028</v>
      </c>
      <c r="L965" s="153" t="s">
        <v>3029</v>
      </c>
      <c r="M965" s="153"/>
      <c r="N965" s="153"/>
      <c r="O965" s="153"/>
      <c r="P965" s="153"/>
      <c r="Q965" s="153"/>
      <c r="R965" s="153"/>
      <c r="S965" s="153"/>
      <c r="T965" s="153"/>
    </row>
    <row r="966">
      <c r="A966" s="152"/>
      <c r="B966" s="153"/>
      <c r="C966" s="152"/>
      <c r="D966" s="152"/>
      <c r="E966" s="154">
        <v>5352.0</v>
      </c>
      <c r="F966" s="152"/>
      <c r="G966" s="155"/>
      <c r="H966" s="153" t="s">
        <v>3030</v>
      </c>
      <c r="I966" s="153" t="s">
        <v>2710</v>
      </c>
      <c r="J966" s="156">
        <v>960.0</v>
      </c>
      <c r="K966" s="157" t="s">
        <v>3031</v>
      </c>
      <c r="L966" s="153" t="s">
        <v>3032</v>
      </c>
      <c r="M966" s="153"/>
      <c r="N966" s="153"/>
      <c r="O966" s="153"/>
      <c r="P966" s="153"/>
      <c r="Q966" s="153"/>
      <c r="R966" s="153"/>
      <c r="S966" s="153"/>
      <c r="T966" s="153"/>
    </row>
    <row r="967">
      <c r="A967" s="152"/>
      <c r="B967" s="153"/>
      <c r="C967" s="152"/>
      <c r="D967" s="152"/>
      <c r="E967" s="154">
        <v>5353.0</v>
      </c>
      <c r="F967" s="152"/>
      <c r="G967" s="155"/>
      <c r="H967" s="153" t="s">
        <v>3033</v>
      </c>
      <c r="I967" s="153" t="s">
        <v>167</v>
      </c>
      <c r="J967" s="156">
        <v>961.0</v>
      </c>
      <c r="K967" s="157" t="s">
        <v>3034</v>
      </c>
      <c r="L967" s="153" t="s">
        <v>3035</v>
      </c>
      <c r="M967" s="153"/>
      <c r="N967" s="153"/>
      <c r="O967" s="153"/>
      <c r="P967" s="153"/>
      <c r="Q967" s="153"/>
      <c r="R967" s="153"/>
      <c r="S967" s="153"/>
      <c r="T967" s="153"/>
    </row>
    <row r="968">
      <c r="A968" s="152"/>
      <c r="B968" s="153"/>
      <c r="C968" s="152"/>
      <c r="D968" s="152"/>
      <c r="E968" s="154">
        <v>5354.0</v>
      </c>
      <c r="F968" s="152"/>
      <c r="G968" s="155"/>
      <c r="H968" s="153" t="s">
        <v>3036</v>
      </c>
      <c r="I968" s="153" t="s">
        <v>2219</v>
      </c>
      <c r="J968" s="156">
        <v>962.0</v>
      </c>
      <c r="K968" s="157" t="s">
        <v>3037</v>
      </c>
      <c r="L968" s="153" t="s">
        <v>3038</v>
      </c>
      <c r="M968" s="153"/>
      <c r="N968" s="153"/>
      <c r="O968" s="153"/>
      <c r="P968" s="153"/>
      <c r="Q968" s="153"/>
      <c r="R968" s="153"/>
      <c r="S968" s="153"/>
      <c r="T968" s="153"/>
    </row>
    <row r="969">
      <c r="A969" s="152"/>
      <c r="B969" s="153"/>
      <c r="C969" s="152"/>
      <c r="D969" s="152"/>
      <c r="E969" s="154">
        <v>5355.0</v>
      </c>
      <c r="F969" s="152"/>
      <c r="G969" s="155"/>
      <c r="H969" s="153" t="s">
        <v>3039</v>
      </c>
      <c r="I969" s="153" t="s">
        <v>246</v>
      </c>
      <c r="J969" s="156">
        <v>963.0</v>
      </c>
      <c r="K969" s="157" t="s">
        <v>3040</v>
      </c>
      <c r="L969" s="158" t="s">
        <v>3041</v>
      </c>
      <c r="M969" s="158"/>
      <c r="N969" s="158"/>
      <c r="O969" s="158"/>
      <c r="P969" s="158"/>
      <c r="Q969" s="158"/>
      <c r="R969" s="158"/>
      <c r="S969" s="158"/>
      <c r="T969" s="158"/>
    </row>
    <row r="970">
      <c r="A970" s="152"/>
      <c r="B970" s="153"/>
      <c r="C970" s="152"/>
      <c r="D970" s="152"/>
      <c r="E970" s="154">
        <v>5356.0</v>
      </c>
      <c r="F970" s="152"/>
      <c r="G970" s="155"/>
      <c r="H970" s="153" t="s">
        <v>3042</v>
      </c>
      <c r="I970" s="153" t="s">
        <v>434</v>
      </c>
      <c r="J970" s="156">
        <v>964.0</v>
      </c>
      <c r="K970" s="157" t="s">
        <v>3043</v>
      </c>
      <c r="L970" s="158" t="s">
        <v>3044</v>
      </c>
      <c r="M970" s="158"/>
      <c r="N970" s="158"/>
      <c r="O970" s="158"/>
      <c r="P970" s="158"/>
      <c r="Q970" s="158"/>
      <c r="R970" s="158"/>
      <c r="S970" s="158"/>
      <c r="T970" s="158"/>
    </row>
    <row r="971">
      <c r="A971" s="152"/>
      <c r="B971" s="153"/>
      <c r="C971" s="152"/>
      <c r="D971" s="152"/>
      <c r="E971" s="154">
        <v>5361.0</v>
      </c>
      <c r="F971" s="152"/>
      <c r="G971" s="155"/>
      <c r="H971" s="153" t="s">
        <v>3045</v>
      </c>
      <c r="I971" s="153" t="s">
        <v>2219</v>
      </c>
      <c r="J971" s="156">
        <v>965.0</v>
      </c>
      <c r="K971" s="157" t="s">
        <v>3046</v>
      </c>
      <c r="L971" s="153" t="s">
        <v>3047</v>
      </c>
      <c r="M971" s="153"/>
      <c r="N971" s="153"/>
      <c r="O971" s="153"/>
      <c r="P971" s="153"/>
      <c r="Q971" s="153"/>
      <c r="R971" s="153"/>
      <c r="S971" s="153"/>
      <c r="T971" s="153"/>
    </row>
    <row r="972">
      <c r="A972" s="152"/>
      <c r="B972" s="153"/>
      <c r="C972" s="152"/>
      <c r="D972" s="152"/>
      <c r="E972" s="154">
        <v>5362.0</v>
      </c>
      <c r="F972" s="152"/>
      <c r="G972" s="155"/>
      <c r="H972" s="153" t="s">
        <v>3048</v>
      </c>
      <c r="I972" s="153" t="s">
        <v>2710</v>
      </c>
      <c r="J972" s="156">
        <v>966.0</v>
      </c>
      <c r="K972" s="157" t="s">
        <v>3049</v>
      </c>
      <c r="L972" s="158" t="s">
        <v>3050</v>
      </c>
      <c r="M972" s="158"/>
      <c r="N972" s="158"/>
      <c r="O972" s="158"/>
      <c r="P972" s="158"/>
      <c r="Q972" s="158"/>
      <c r="R972" s="158"/>
      <c r="S972" s="158"/>
      <c r="T972" s="158"/>
    </row>
    <row r="973">
      <c r="A973" s="152"/>
      <c r="B973" s="153"/>
      <c r="C973" s="152"/>
      <c r="D973" s="152"/>
      <c r="E973" s="154">
        <v>5363.0</v>
      </c>
      <c r="F973" s="152"/>
      <c r="G973" s="155"/>
      <c r="H973" s="153" t="s">
        <v>3051</v>
      </c>
      <c r="I973" s="153" t="s">
        <v>167</v>
      </c>
      <c r="J973" s="156">
        <v>967.0</v>
      </c>
      <c r="K973" s="157" t="s">
        <v>3052</v>
      </c>
      <c r="L973" s="158" t="s">
        <v>3053</v>
      </c>
      <c r="M973" s="158"/>
      <c r="N973" s="158"/>
      <c r="O973" s="158"/>
      <c r="P973" s="158"/>
      <c r="Q973" s="158"/>
      <c r="R973" s="158"/>
      <c r="S973" s="158"/>
      <c r="T973" s="158"/>
    </row>
    <row r="974">
      <c r="A974" s="152"/>
      <c r="B974" s="153"/>
      <c r="C974" s="152"/>
      <c r="D974" s="152"/>
      <c r="E974" s="154">
        <v>5364.0</v>
      </c>
      <c r="F974" s="152"/>
      <c r="G974" s="155"/>
      <c r="H974" s="153" t="s">
        <v>3054</v>
      </c>
      <c r="I974" s="153" t="s">
        <v>2219</v>
      </c>
      <c r="J974" s="156">
        <v>968.0</v>
      </c>
      <c r="K974" s="157" t="s">
        <v>3055</v>
      </c>
      <c r="L974" s="153" t="s">
        <v>3056</v>
      </c>
      <c r="M974" s="153"/>
      <c r="N974" s="153"/>
      <c r="O974" s="153"/>
      <c r="P974" s="153"/>
      <c r="Q974" s="153"/>
      <c r="R974" s="153"/>
      <c r="S974" s="153"/>
      <c r="T974" s="153"/>
    </row>
    <row r="975">
      <c r="A975" s="152"/>
      <c r="B975" s="153"/>
      <c r="C975" s="152"/>
      <c r="D975" s="152"/>
      <c r="E975" s="154">
        <v>5365.0</v>
      </c>
      <c r="F975" s="152"/>
      <c r="G975" s="155"/>
      <c r="H975" s="153" t="s">
        <v>3057</v>
      </c>
      <c r="I975" s="153" t="s">
        <v>246</v>
      </c>
      <c r="J975" s="156">
        <v>969.0</v>
      </c>
      <c r="K975" s="157" t="s">
        <v>3058</v>
      </c>
      <c r="L975" s="158" t="s">
        <v>3059</v>
      </c>
      <c r="M975" s="158"/>
      <c r="N975" s="158"/>
      <c r="O975" s="158"/>
      <c r="P975" s="158"/>
      <c r="Q975" s="158"/>
      <c r="R975" s="158"/>
      <c r="S975" s="158"/>
      <c r="T975" s="158"/>
    </row>
    <row r="976">
      <c r="A976" s="152"/>
      <c r="B976" s="153"/>
      <c r="C976" s="152"/>
      <c r="D976" s="152"/>
      <c r="E976" s="154">
        <v>5366.0</v>
      </c>
      <c r="F976" s="152"/>
      <c r="G976" s="155"/>
      <c r="H976" s="153" t="s">
        <v>3060</v>
      </c>
      <c r="I976" s="153" t="s">
        <v>2710</v>
      </c>
      <c r="J976" s="156">
        <v>970.0</v>
      </c>
      <c r="K976" s="157" t="s">
        <v>3061</v>
      </c>
      <c r="L976" s="158" t="s">
        <v>3062</v>
      </c>
      <c r="M976" s="158"/>
      <c r="N976" s="158"/>
      <c r="O976" s="158"/>
      <c r="P976" s="158"/>
      <c r="Q976" s="158"/>
      <c r="R976" s="158"/>
      <c r="S976" s="158"/>
      <c r="T976" s="158"/>
    </row>
    <row r="977">
      <c r="A977" s="152"/>
      <c r="B977" s="153"/>
      <c r="C977" s="152"/>
      <c r="D977" s="152"/>
      <c r="E977" s="154">
        <v>5411.0</v>
      </c>
      <c r="F977" s="152"/>
      <c r="G977" s="155"/>
      <c r="H977" s="153" t="s">
        <v>3063</v>
      </c>
      <c r="I977" s="153" t="s">
        <v>230</v>
      </c>
      <c r="J977" s="156">
        <v>971.0</v>
      </c>
      <c r="K977" s="157" t="s">
        <v>3064</v>
      </c>
      <c r="L977" s="153" t="s">
        <v>3065</v>
      </c>
      <c r="M977" s="153"/>
      <c r="N977" s="153"/>
      <c r="O977" s="153"/>
      <c r="P977" s="153"/>
      <c r="Q977" s="153"/>
      <c r="R977" s="153"/>
      <c r="S977" s="153"/>
      <c r="T977" s="153"/>
    </row>
    <row r="978">
      <c r="A978" s="152"/>
      <c r="B978" s="153"/>
      <c r="C978" s="152"/>
      <c r="D978" s="152"/>
      <c r="E978" s="154">
        <v>5412.0</v>
      </c>
      <c r="F978" s="152"/>
      <c r="G978" s="155"/>
      <c r="H978" s="153" t="s">
        <v>3066</v>
      </c>
      <c r="I978" s="153" t="s">
        <v>167</v>
      </c>
      <c r="J978" s="156">
        <v>972.0</v>
      </c>
      <c r="K978" s="157" t="s">
        <v>3067</v>
      </c>
      <c r="L978" s="153" t="s">
        <v>3068</v>
      </c>
      <c r="M978" s="153"/>
      <c r="N978" s="153"/>
      <c r="O978" s="153"/>
      <c r="P978" s="153"/>
      <c r="Q978" s="153"/>
      <c r="R978" s="153"/>
      <c r="S978" s="153"/>
      <c r="T978" s="153"/>
    </row>
    <row r="979">
      <c r="A979" s="152"/>
      <c r="B979" s="153"/>
      <c r="C979" s="152"/>
      <c r="D979" s="152"/>
      <c r="E979" s="154">
        <v>5413.0</v>
      </c>
      <c r="F979" s="152"/>
      <c r="G979" s="155"/>
      <c r="H979" s="153" t="s">
        <v>3069</v>
      </c>
      <c r="I979" s="153" t="s">
        <v>2492</v>
      </c>
      <c r="J979" s="156">
        <v>973.0</v>
      </c>
      <c r="K979" s="157" t="s">
        <v>3070</v>
      </c>
      <c r="L979" s="153" t="s">
        <v>3071</v>
      </c>
      <c r="M979" s="153"/>
      <c r="N979" s="153"/>
      <c r="O979" s="153"/>
      <c r="P979" s="153"/>
      <c r="Q979" s="153"/>
      <c r="R979" s="153"/>
      <c r="S979" s="153"/>
      <c r="T979" s="153"/>
    </row>
    <row r="980">
      <c r="A980" s="152"/>
      <c r="B980" s="153"/>
      <c r="C980" s="152"/>
      <c r="D980" s="152"/>
      <c r="E980" s="154">
        <v>5414.0</v>
      </c>
      <c r="F980" s="152"/>
      <c r="G980" s="155"/>
      <c r="H980" s="153" t="s">
        <v>3072</v>
      </c>
      <c r="I980" s="153" t="s">
        <v>246</v>
      </c>
      <c r="J980" s="156">
        <v>974.0</v>
      </c>
      <c r="K980" s="157" t="s">
        <v>3073</v>
      </c>
      <c r="L980" s="158" t="s">
        <v>3074</v>
      </c>
      <c r="M980" s="158"/>
      <c r="N980" s="158"/>
      <c r="O980" s="158"/>
      <c r="P980" s="158"/>
      <c r="Q980" s="158"/>
      <c r="R980" s="158"/>
      <c r="S980" s="158"/>
      <c r="T980" s="158"/>
    </row>
    <row r="981">
      <c r="A981" s="152"/>
      <c r="B981" s="153"/>
      <c r="C981" s="152"/>
      <c r="D981" s="152"/>
      <c r="E981" s="154">
        <v>5415.0</v>
      </c>
      <c r="F981" s="152"/>
      <c r="G981" s="155"/>
      <c r="H981" s="153" t="s">
        <v>3075</v>
      </c>
      <c r="I981" s="153" t="s">
        <v>3076</v>
      </c>
      <c r="J981" s="156">
        <v>975.0</v>
      </c>
      <c r="K981" s="157" t="s">
        <v>3077</v>
      </c>
      <c r="L981" s="153" t="s">
        <v>3078</v>
      </c>
      <c r="M981" s="153"/>
      <c r="N981" s="153"/>
      <c r="O981" s="153"/>
      <c r="P981" s="153"/>
      <c r="Q981" s="153"/>
      <c r="R981" s="153"/>
      <c r="S981" s="153"/>
      <c r="T981" s="153"/>
    </row>
    <row r="982">
      <c r="A982" s="152"/>
      <c r="B982" s="153"/>
      <c r="C982" s="152"/>
      <c r="D982" s="152"/>
      <c r="E982" s="154">
        <v>5416.0</v>
      </c>
      <c r="F982" s="152"/>
      <c r="G982" s="155"/>
      <c r="H982" s="153" t="s">
        <v>3079</v>
      </c>
      <c r="I982" s="153" t="s">
        <v>519</v>
      </c>
      <c r="J982" s="156">
        <v>976.0</v>
      </c>
      <c r="K982" s="157" t="s">
        <v>3080</v>
      </c>
      <c r="L982" s="153" t="s">
        <v>3081</v>
      </c>
      <c r="M982" s="153"/>
      <c r="N982" s="153"/>
      <c r="O982" s="153"/>
      <c r="P982" s="153"/>
      <c r="Q982" s="153"/>
      <c r="R982" s="153"/>
      <c r="S982" s="153"/>
      <c r="T982" s="153"/>
    </row>
    <row r="983">
      <c r="A983" s="152"/>
      <c r="B983" s="153"/>
      <c r="C983" s="152"/>
      <c r="D983" s="152"/>
      <c r="E983" s="154">
        <v>5421.0</v>
      </c>
      <c r="F983" s="152"/>
      <c r="G983" s="155"/>
      <c r="H983" s="153" t="s">
        <v>3082</v>
      </c>
      <c r="I983" s="153" t="s">
        <v>167</v>
      </c>
      <c r="J983" s="156">
        <v>977.0</v>
      </c>
      <c r="K983" s="157" t="s">
        <v>3083</v>
      </c>
      <c r="L983" s="153" t="s">
        <v>3084</v>
      </c>
      <c r="M983" s="153"/>
      <c r="N983" s="153"/>
      <c r="O983" s="153"/>
      <c r="P983" s="153"/>
      <c r="Q983" s="153"/>
      <c r="R983" s="153"/>
      <c r="S983" s="153"/>
      <c r="T983" s="153"/>
    </row>
    <row r="984">
      <c r="A984" s="152"/>
      <c r="B984" s="153"/>
      <c r="C984" s="152"/>
      <c r="D984" s="152"/>
      <c r="E984" s="154">
        <v>5422.0</v>
      </c>
      <c r="F984" s="152"/>
      <c r="G984" s="155"/>
      <c r="H984" s="153" t="s">
        <v>3085</v>
      </c>
      <c r="I984" s="153" t="s">
        <v>156</v>
      </c>
      <c r="J984" s="156">
        <v>978.0</v>
      </c>
      <c r="K984" s="157" t="s">
        <v>3086</v>
      </c>
      <c r="L984" s="153" t="s">
        <v>3087</v>
      </c>
      <c r="M984" s="153"/>
      <c r="N984" s="153"/>
      <c r="O984" s="153"/>
      <c r="P984" s="153"/>
      <c r="Q984" s="153"/>
      <c r="R984" s="153"/>
      <c r="S984" s="153"/>
      <c r="T984" s="153"/>
    </row>
    <row r="985">
      <c r="A985" s="152"/>
      <c r="B985" s="153"/>
      <c r="C985" s="152"/>
      <c r="D985" s="152"/>
      <c r="E985" s="154">
        <v>5423.0</v>
      </c>
      <c r="F985" s="152"/>
      <c r="G985" s="155"/>
      <c r="H985" s="153" t="s">
        <v>3088</v>
      </c>
      <c r="I985" s="153" t="s">
        <v>2219</v>
      </c>
      <c r="J985" s="156">
        <v>979.0</v>
      </c>
      <c r="K985" s="157" t="s">
        <v>3089</v>
      </c>
      <c r="L985" s="153" t="s">
        <v>3090</v>
      </c>
      <c r="M985" s="153"/>
      <c r="N985" s="153"/>
      <c r="O985" s="153"/>
      <c r="P985" s="153"/>
      <c r="Q985" s="153"/>
      <c r="R985" s="153"/>
      <c r="S985" s="153"/>
      <c r="T985" s="153"/>
    </row>
    <row r="986">
      <c r="A986" s="152"/>
      <c r="B986" s="153"/>
      <c r="C986" s="152"/>
      <c r="D986" s="152"/>
      <c r="E986" s="154">
        <v>5424.0</v>
      </c>
      <c r="F986" s="152"/>
      <c r="G986" s="155"/>
      <c r="H986" s="153" t="s">
        <v>3091</v>
      </c>
      <c r="I986" s="153" t="s">
        <v>2666</v>
      </c>
      <c r="J986" s="156">
        <v>980.0</v>
      </c>
      <c r="K986" s="157" t="s">
        <v>3092</v>
      </c>
      <c r="L986" s="153" t="s">
        <v>3093</v>
      </c>
      <c r="M986" s="153"/>
      <c r="N986" s="153"/>
      <c r="O986" s="153"/>
      <c r="P986" s="153"/>
      <c r="Q986" s="153"/>
      <c r="R986" s="153"/>
      <c r="S986" s="153"/>
      <c r="T986" s="153"/>
    </row>
    <row r="987">
      <c r="A987" s="152"/>
      <c r="B987" s="153"/>
      <c r="C987" s="152"/>
      <c r="D987" s="152"/>
      <c r="E987" s="154">
        <v>5425.0</v>
      </c>
      <c r="F987" s="152"/>
      <c r="G987" s="155"/>
      <c r="H987" s="153" t="s">
        <v>3094</v>
      </c>
      <c r="I987" s="153" t="s">
        <v>156</v>
      </c>
      <c r="J987" s="156">
        <v>981.0</v>
      </c>
      <c r="K987" s="157" t="s">
        <v>3095</v>
      </c>
      <c r="L987" s="158" t="s">
        <v>3096</v>
      </c>
      <c r="M987" s="158"/>
      <c r="N987" s="158"/>
      <c r="O987" s="158"/>
      <c r="P987" s="158"/>
      <c r="Q987" s="158"/>
      <c r="R987" s="158"/>
      <c r="S987" s="158"/>
      <c r="T987" s="158"/>
    </row>
    <row r="988">
      <c r="A988" s="152"/>
      <c r="B988" s="153"/>
      <c r="C988" s="152"/>
      <c r="D988" s="152"/>
      <c r="E988" s="154">
        <v>5426.0</v>
      </c>
      <c r="F988" s="152"/>
      <c r="G988" s="155"/>
      <c r="H988" s="153" t="s">
        <v>36</v>
      </c>
      <c r="I988" s="153" t="s">
        <v>167</v>
      </c>
      <c r="J988" s="156">
        <v>982.0</v>
      </c>
      <c r="K988" s="157" t="s">
        <v>3097</v>
      </c>
      <c r="L988" s="153" t="s">
        <v>3098</v>
      </c>
      <c r="M988" s="153"/>
      <c r="N988" s="153"/>
      <c r="O988" s="153"/>
      <c r="P988" s="153"/>
      <c r="Q988" s="153"/>
      <c r="R988" s="153"/>
      <c r="S988" s="153"/>
      <c r="T988" s="153"/>
    </row>
    <row r="989">
      <c r="A989" s="152"/>
      <c r="B989" s="153"/>
      <c r="C989" s="152"/>
      <c r="D989" s="152"/>
      <c r="E989" s="154">
        <v>5431.0</v>
      </c>
      <c r="F989" s="152"/>
      <c r="G989" s="155"/>
      <c r="H989" s="153" t="s">
        <v>3099</v>
      </c>
      <c r="I989" s="153" t="s">
        <v>167</v>
      </c>
      <c r="J989" s="156">
        <v>983.0</v>
      </c>
      <c r="K989" s="157" t="s">
        <v>3100</v>
      </c>
      <c r="L989" s="153" t="s">
        <v>3101</v>
      </c>
      <c r="M989" s="153"/>
      <c r="N989" s="153"/>
      <c r="O989" s="153"/>
      <c r="P989" s="153"/>
      <c r="Q989" s="153"/>
      <c r="R989" s="153"/>
      <c r="S989" s="153"/>
      <c r="T989" s="153"/>
    </row>
    <row r="990">
      <c r="A990" s="152"/>
      <c r="B990" s="153"/>
      <c r="C990" s="152"/>
      <c r="D990" s="152"/>
      <c r="E990" s="154">
        <v>5432.0</v>
      </c>
      <c r="F990" s="152"/>
      <c r="G990" s="155"/>
      <c r="H990" s="153" t="s">
        <v>3102</v>
      </c>
      <c r="I990" s="153" t="s">
        <v>1731</v>
      </c>
      <c r="J990" s="156">
        <v>984.0</v>
      </c>
      <c r="K990" s="157" t="s">
        <v>3103</v>
      </c>
      <c r="L990" s="153" t="s">
        <v>3104</v>
      </c>
      <c r="M990" s="153"/>
      <c r="N990" s="153"/>
      <c r="O990" s="153"/>
      <c r="P990" s="153"/>
      <c r="Q990" s="153"/>
      <c r="R990" s="153"/>
      <c r="S990" s="153"/>
      <c r="T990" s="153"/>
    </row>
    <row r="991">
      <c r="A991" s="152"/>
      <c r="B991" s="153"/>
      <c r="C991" s="152"/>
      <c r="D991" s="152"/>
      <c r="E991" s="154">
        <v>5433.0</v>
      </c>
      <c r="F991" s="152"/>
      <c r="G991" s="155"/>
      <c r="H991" s="153" t="s">
        <v>3105</v>
      </c>
      <c r="I991" s="153" t="s">
        <v>167</v>
      </c>
      <c r="J991" s="156">
        <v>985.0</v>
      </c>
      <c r="K991" s="157" t="s">
        <v>3100</v>
      </c>
      <c r="L991" s="153" t="s">
        <v>3106</v>
      </c>
      <c r="M991" s="153"/>
      <c r="N991" s="153"/>
      <c r="O991" s="153"/>
      <c r="P991" s="153"/>
      <c r="Q991" s="153"/>
      <c r="R991" s="153"/>
      <c r="S991" s="153"/>
      <c r="T991" s="153"/>
    </row>
    <row r="992">
      <c r="A992" s="152"/>
      <c r="B992" s="153"/>
      <c r="C992" s="152"/>
      <c r="D992" s="152"/>
      <c r="E992" s="154">
        <v>5434.0</v>
      </c>
      <c r="F992" s="152"/>
      <c r="G992" s="155"/>
      <c r="H992" s="153" t="s">
        <v>3107</v>
      </c>
      <c r="I992" s="153" t="s">
        <v>1731</v>
      </c>
      <c r="J992" s="156">
        <v>986.0</v>
      </c>
      <c r="K992" s="157" t="s">
        <v>3108</v>
      </c>
      <c r="L992" s="153" t="s">
        <v>3109</v>
      </c>
      <c r="M992" s="153"/>
      <c r="N992" s="153"/>
      <c r="O992" s="153"/>
      <c r="P992" s="153"/>
      <c r="Q992" s="153"/>
      <c r="R992" s="153"/>
      <c r="S992" s="153"/>
      <c r="T992" s="153"/>
    </row>
    <row r="993">
      <c r="A993" s="152"/>
      <c r="B993" s="153"/>
      <c r="C993" s="152"/>
      <c r="D993" s="152"/>
      <c r="E993" s="154">
        <v>5435.0</v>
      </c>
      <c r="F993" s="152"/>
      <c r="G993" s="155"/>
      <c r="H993" s="153" t="s">
        <v>3110</v>
      </c>
      <c r="I993" s="153" t="s">
        <v>167</v>
      </c>
      <c r="J993" s="156">
        <v>987.0</v>
      </c>
      <c r="K993" s="157" t="s">
        <v>3111</v>
      </c>
      <c r="L993" s="153" t="s">
        <v>3112</v>
      </c>
      <c r="M993" s="153"/>
      <c r="N993" s="153"/>
      <c r="O993" s="153"/>
      <c r="P993" s="153"/>
      <c r="Q993" s="153"/>
      <c r="R993" s="153"/>
      <c r="S993" s="153"/>
      <c r="T993" s="153"/>
    </row>
    <row r="994">
      <c r="A994" s="152"/>
      <c r="B994" s="153"/>
      <c r="C994" s="152"/>
      <c r="D994" s="152"/>
      <c r="E994" s="154">
        <v>5436.0</v>
      </c>
      <c r="F994" s="152"/>
      <c r="G994" s="155"/>
      <c r="H994" s="153" t="s">
        <v>3113</v>
      </c>
      <c r="I994" s="153" t="s">
        <v>167</v>
      </c>
      <c r="J994" s="156">
        <v>988.0</v>
      </c>
      <c r="K994" s="157" t="s">
        <v>3114</v>
      </c>
      <c r="L994" s="153" t="s">
        <v>3115</v>
      </c>
      <c r="M994" s="153"/>
      <c r="N994" s="153"/>
      <c r="O994" s="153"/>
      <c r="P994" s="153"/>
      <c r="Q994" s="153"/>
      <c r="R994" s="153"/>
      <c r="S994" s="153"/>
      <c r="T994" s="153"/>
    </row>
    <row r="995">
      <c r="A995" s="152"/>
      <c r="B995" s="153"/>
      <c r="C995" s="152"/>
      <c r="D995" s="152"/>
      <c r="E995" s="154">
        <v>5441.0</v>
      </c>
      <c r="F995" s="152"/>
      <c r="G995" s="155"/>
      <c r="H995" s="153" t="s">
        <v>3116</v>
      </c>
      <c r="I995" s="153" t="s">
        <v>167</v>
      </c>
      <c r="J995" s="156">
        <v>989.0</v>
      </c>
      <c r="K995" s="157" t="s">
        <v>3117</v>
      </c>
      <c r="L995" s="153" t="s">
        <v>3118</v>
      </c>
      <c r="M995" s="153"/>
      <c r="N995" s="153"/>
      <c r="O995" s="153"/>
      <c r="P995" s="153"/>
      <c r="Q995" s="153"/>
      <c r="R995" s="153"/>
      <c r="S995" s="153"/>
      <c r="T995" s="153"/>
    </row>
    <row r="996">
      <c r="A996" s="152"/>
      <c r="B996" s="153"/>
      <c r="C996" s="152"/>
      <c r="D996" s="152"/>
      <c r="E996" s="154">
        <v>5442.0</v>
      </c>
      <c r="F996" s="152"/>
      <c r="G996" s="155"/>
      <c r="H996" s="153" t="s">
        <v>3119</v>
      </c>
      <c r="I996" s="153" t="s">
        <v>1731</v>
      </c>
      <c r="J996" s="156">
        <v>990.0</v>
      </c>
      <c r="K996" s="157" t="s">
        <v>3120</v>
      </c>
      <c r="L996" s="153" t="s">
        <v>3121</v>
      </c>
      <c r="M996" s="153"/>
      <c r="N996" s="153"/>
      <c r="O996" s="153"/>
      <c r="P996" s="153"/>
      <c r="Q996" s="153"/>
      <c r="R996" s="153"/>
      <c r="S996" s="153"/>
      <c r="T996" s="153"/>
    </row>
    <row r="997">
      <c r="A997" s="152"/>
      <c r="B997" s="153"/>
      <c r="C997" s="152"/>
      <c r="D997" s="152"/>
      <c r="E997" s="154">
        <v>5443.0</v>
      </c>
      <c r="F997" s="152"/>
      <c r="G997" s="155"/>
      <c r="H997" s="153" t="s">
        <v>3122</v>
      </c>
      <c r="I997" s="153" t="s">
        <v>1731</v>
      </c>
      <c r="J997" s="156">
        <v>991.0</v>
      </c>
      <c r="K997" s="157" t="s">
        <v>3123</v>
      </c>
      <c r="L997" s="158" t="s">
        <v>3124</v>
      </c>
      <c r="M997" s="158"/>
      <c r="N997" s="158"/>
      <c r="O997" s="158"/>
      <c r="P997" s="158"/>
      <c r="Q997" s="158"/>
      <c r="R997" s="158"/>
      <c r="S997" s="158"/>
      <c r="T997" s="158"/>
    </row>
    <row r="998">
      <c r="A998" s="152"/>
      <c r="B998" s="153"/>
      <c r="C998" s="152"/>
      <c r="D998" s="152"/>
      <c r="E998" s="154">
        <v>5444.0</v>
      </c>
      <c r="F998" s="152"/>
      <c r="G998" s="155"/>
      <c r="H998" s="153" t="s">
        <v>3125</v>
      </c>
      <c r="I998" s="153" t="s">
        <v>519</v>
      </c>
      <c r="J998" s="156">
        <v>992.0</v>
      </c>
      <c r="K998" s="157" t="s">
        <v>3126</v>
      </c>
      <c r="L998" s="158" t="s">
        <v>3127</v>
      </c>
      <c r="M998" s="158"/>
      <c r="N998" s="158"/>
      <c r="O998" s="158"/>
      <c r="P998" s="158"/>
      <c r="Q998" s="158"/>
      <c r="R998" s="158"/>
      <c r="S998" s="158"/>
      <c r="T998" s="158"/>
    </row>
    <row r="999">
      <c r="A999" s="152"/>
      <c r="B999" s="153"/>
      <c r="C999" s="152"/>
      <c r="D999" s="152"/>
      <c r="E999" s="154">
        <v>5445.0</v>
      </c>
      <c r="F999" s="152"/>
      <c r="G999" s="155"/>
      <c r="H999" s="153" t="s">
        <v>3128</v>
      </c>
      <c r="I999" s="153" t="s">
        <v>2076</v>
      </c>
      <c r="J999" s="156">
        <v>993.0</v>
      </c>
      <c r="K999" s="157" t="s">
        <v>3129</v>
      </c>
      <c r="L999" s="153" t="s">
        <v>3130</v>
      </c>
      <c r="M999" s="153"/>
      <c r="N999" s="153"/>
      <c r="O999" s="153"/>
      <c r="P999" s="153"/>
      <c r="Q999" s="153"/>
      <c r="R999" s="153"/>
      <c r="S999" s="153"/>
      <c r="T999" s="153"/>
    </row>
    <row r="1000">
      <c r="A1000" s="152"/>
      <c r="B1000" s="153"/>
      <c r="C1000" s="152"/>
      <c r="D1000" s="152"/>
      <c r="E1000" s="154">
        <v>5446.0</v>
      </c>
      <c r="F1000" s="152"/>
      <c r="G1000" s="155"/>
      <c r="H1000" s="153" t="s">
        <v>3131</v>
      </c>
      <c r="I1000" s="153" t="s">
        <v>1731</v>
      </c>
      <c r="J1000" s="156">
        <v>994.0</v>
      </c>
      <c r="K1000" s="157" t="s">
        <v>3132</v>
      </c>
      <c r="L1000" s="153" t="s">
        <v>3133</v>
      </c>
      <c r="M1000" s="153"/>
      <c r="N1000" s="153"/>
      <c r="O1000" s="153"/>
      <c r="P1000" s="153"/>
      <c r="Q1000" s="153"/>
      <c r="R1000" s="153"/>
      <c r="S1000" s="153"/>
      <c r="T1000" s="153"/>
    </row>
    <row r="1001">
      <c r="A1001" s="152"/>
      <c r="B1001" s="153"/>
      <c r="C1001" s="152"/>
      <c r="D1001" s="152"/>
      <c r="E1001" s="154">
        <v>5451.0</v>
      </c>
      <c r="F1001" s="152"/>
      <c r="G1001" s="155"/>
      <c r="H1001" s="153" t="s">
        <v>3134</v>
      </c>
      <c r="I1001" s="153" t="s">
        <v>2076</v>
      </c>
      <c r="J1001" s="156">
        <v>995.0</v>
      </c>
      <c r="K1001" s="157" t="s">
        <v>3135</v>
      </c>
      <c r="L1001" s="153" t="s">
        <v>3136</v>
      </c>
      <c r="M1001" s="153"/>
      <c r="N1001" s="153"/>
      <c r="O1001" s="153"/>
      <c r="P1001" s="153"/>
      <c r="Q1001" s="153"/>
      <c r="R1001" s="153"/>
      <c r="S1001" s="153"/>
      <c r="T1001" s="153"/>
    </row>
    <row r="1002">
      <c r="A1002" s="152"/>
      <c r="B1002" s="153"/>
      <c r="C1002" s="152"/>
      <c r="D1002" s="152"/>
      <c r="E1002" s="154">
        <v>5452.0</v>
      </c>
      <c r="F1002" s="152"/>
      <c r="G1002" s="155"/>
      <c r="H1002" s="153" t="s">
        <v>3137</v>
      </c>
      <c r="I1002" s="153" t="s">
        <v>167</v>
      </c>
      <c r="J1002" s="156">
        <v>996.0</v>
      </c>
      <c r="K1002" s="157" t="s">
        <v>3138</v>
      </c>
      <c r="L1002" s="153" t="s">
        <v>3139</v>
      </c>
      <c r="M1002" s="153"/>
      <c r="N1002" s="153"/>
      <c r="O1002" s="153"/>
      <c r="P1002" s="153"/>
      <c r="Q1002" s="153"/>
      <c r="R1002" s="153"/>
      <c r="S1002" s="153"/>
      <c r="T1002" s="153"/>
    </row>
    <row r="1003">
      <c r="A1003" s="152"/>
      <c r="B1003" s="153"/>
      <c r="C1003" s="152"/>
      <c r="D1003" s="152"/>
      <c r="E1003" s="154">
        <v>5453.0</v>
      </c>
      <c r="F1003" s="152"/>
      <c r="G1003" s="155"/>
      <c r="H1003" s="153" t="s">
        <v>3140</v>
      </c>
      <c r="I1003" s="153" t="s">
        <v>167</v>
      </c>
      <c r="J1003" s="156">
        <v>997.0</v>
      </c>
      <c r="K1003" s="157" t="s">
        <v>3141</v>
      </c>
      <c r="L1003" s="153" t="s">
        <v>3142</v>
      </c>
      <c r="M1003" s="153"/>
      <c r="N1003" s="153"/>
      <c r="O1003" s="153"/>
      <c r="P1003" s="153"/>
      <c r="Q1003" s="153"/>
      <c r="R1003" s="153"/>
      <c r="S1003" s="153"/>
      <c r="T1003" s="153"/>
    </row>
    <row r="1004">
      <c r="A1004" s="152"/>
      <c r="B1004" s="153"/>
      <c r="C1004" s="152"/>
      <c r="D1004" s="152"/>
      <c r="E1004" s="154">
        <v>5454.0</v>
      </c>
      <c r="F1004" s="152"/>
      <c r="G1004" s="155"/>
      <c r="H1004" s="153" t="s">
        <v>3143</v>
      </c>
      <c r="I1004" s="153" t="s">
        <v>1731</v>
      </c>
      <c r="J1004" s="156">
        <v>998.0</v>
      </c>
      <c r="K1004" s="157" t="s">
        <v>3144</v>
      </c>
      <c r="L1004" s="153" t="s">
        <v>3145</v>
      </c>
      <c r="M1004" s="153"/>
      <c r="N1004" s="153"/>
      <c r="O1004" s="153"/>
      <c r="P1004" s="153"/>
      <c r="Q1004" s="153"/>
      <c r="R1004" s="153"/>
      <c r="S1004" s="153"/>
      <c r="T1004" s="153"/>
    </row>
    <row r="1005">
      <c r="A1005" s="152"/>
      <c r="B1005" s="153"/>
      <c r="C1005" s="152"/>
      <c r="D1005" s="152"/>
      <c r="E1005" s="154">
        <v>5455.0</v>
      </c>
      <c r="F1005" s="152"/>
      <c r="G1005" s="155"/>
      <c r="H1005" s="153" t="s">
        <v>3146</v>
      </c>
      <c r="I1005" s="153" t="s">
        <v>167</v>
      </c>
      <c r="J1005" s="156">
        <v>999.0</v>
      </c>
      <c r="K1005" s="157" t="s">
        <v>3147</v>
      </c>
      <c r="L1005" s="158" t="s">
        <v>3148</v>
      </c>
      <c r="M1005" s="158"/>
      <c r="N1005" s="158"/>
      <c r="O1005" s="158"/>
      <c r="P1005" s="158"/>
      <c r="Q1005" s="158"/>
      <c r="R1005" s="158"/>
      <c r="S1005" s="158"/>
      <c r="T1005" s="158"/>
    </row>
    <row r="1006">
      <c r="A1006" s="152"/>
      <c r="B1006" s="153"/>
      <c r="C1006" s="152"/>
      <c r="D1006" s="152"/>
      <c r="E1006" s="154">
        <v>5456.0</v>
      </c>
      <c r="F1006" s="152"/>
      <c r="G1006" s="155"/>
      <c r="H1006" s="153" t="s">
        <v>3149</v>
      </c>
      <c r="I1006" s="153" t="s">
        <v>167</v>
      </c>
      <c r="J1006" s="156">
        <v>1000.0</v>
      </c>
      <c r="K1006" s="157" t="s">
        <v>3150</v>
      </c>
      <c r="L1006" s="153" t="s">
        <v>3151</v>
      </c>
      <c r="M1006" s="153"/>
      <c r="N1006" s="153"/>
      <c r="O1006" s="153"/>
      <c r="P1006" s="153"/>
      <c r="Q1006" s="153"/>
      <c r="R1006" s="153"/>
      <c r="S1006" s="153"/>
      <c r="T1006" s="153"/>
    </row>
    <row r="1007">
      <c r="A1007" s="152"/>
      <c r="B1007" s="153"/>
      <c r="C1007" s="152"/>
      <c r="D1007" s="152"/>
      <c r="E1007" s="154">
        <v>5461.0</v>
      </c>
      <c r="F1007" s="152"/>
      <c r="G1007" s="155"/>
      <c r="H1007" s="153" t="s">
        <v>3152</v>
      </c>
      <c r="I1007" s="153" t="s">
        <v>167</v>
      </c>
      <c r="J1007" s="156">
        <v>1001.0</v>
      </c>
      <c r="K1007" s="157" t="s">
        <v>3153</v>
      </c>
      <c r="L1007" s="153" t="s">
        <v>3154</v>
      </c>
      <c r="M1007" s="153"/>
      <c r="N1007" s="153"/>
      <c r="O1007" s="153"/>
      <c r="P1007" s="153"/>
      <c r="Q1007" s="153"/>
      <c r="R1007" s="153"/>
      <c r="S1007" s="153"/>
      <c r="T1007" s="153"/>
    </row>
    <row r="1008">
      <c r="A1008" s="152"/>
      <c r="B1008" s="153"/>
      <c r="C1008" s="152"/>
      <c r="D1008" s="152"/>
      <c r="E1008" s="154">
        <v>5462.0</v>
      </c>
      <c r="F1008" s="152"/>
      <c r="G1008" s="155"/>
      <c r="H1008" s="153" t="s">
        <v>3155</v>
      </c>
      <c r="I1008" s="153" t="s">
        <v>1604</v>
      </c>
      <c r="J1008" s="156">
        <v>1002.0</v>
      </c>
      <c r="K1008" s="157" t="s">
        <v>3156</v>
      </c>
      <c r="L1008" s="158" t="s">
        <v>3157</v>
      </c>
      <c r="M1008" s="158"/>
      <c r="N1008" s="158"/>
      <c r="O1008" s="158"/>
      <c r="P1008" s="158"/>
      <c r="Q1008" s="158"/>
      <c r="R1008" s="158"/>
      <c r="S1008" s="158"/>
      <c r="T1008" s="158"/>
    </row>
    <row r="1009">
      <c r="A1009" s="152"/>
      <c r="B1009" s="153"/>
      <c r="C1009" s="152"/>
      <c r="D1009" s="152"/>
      <c r="E1009" s="154">
        <v>5463.0</v>
      </c>
      <c r="F1009" s="152"/>
      <c r="G1009" s="155"/>
      <c r="H1009" s="153" t="s">
        <v>3158</v>
      </c>
      <c r="I1009" s="153" t="s">
        <v>156</v>
      </c>
      <c r="J1009" s="156">
        <v>1003.0</v>
      </c>
      <c r="K1009" s="157" t="s">
        <v>3159</v>
      </c>
      <c r="L1009" s="158" t="s">
        <v>3160</v>
      </c>
      <c r="M1009" s="158"/>
      <c r="N1009" s="158"/>
      <c r="O1009" s="158"/>
      <c r="P1009" s="158"/>
      <c r="Q1009" s="158"/>
      <c r="R1009" s="158"/>
      <c r="S1009" s="158"/>
      <c r="T1009" s="158"/>
    </row>
    <row r="1010">
      <c r="A1010" s="152"/>
      <c r="B1010" s="153"/>
      <c r="C1010" s="152"/>
      <c r="D1010" s="152"/>
      <c r="E1010" s="154">
        <v>5464.0</v>
      </c>
      <c r="F1010" s="152"/>
      <c r="G1010" s="155"/>
      <c r="H1010" s="153" t="s">
        <v>3161</v>
      </c>
      <c r="I1010" s="153" t="s">
        <v>519</v>
      </c>
      <c r="J1010" s="156">
        <v>1004.0</v>
      </c>
      <c r="K1010" s="157" t="s">
        <v>3162</v>
      </c>
      <c r="L1010" s="153" t="s">
        <v>3163</v>
      </c>
      <c r="M1010" s="153"/>
      <c r="N1010" s="153"/>
      <c r="O1010" s="153"/>
      <c r="P1010" s="153"/>
      <c r="Q1010" s="153"/>
      <c r="R1010" s="153"/>
      <c r="S1010" s="153"/>
      <c r="T1010" s="153"/>
    </row>
    <row r="1011">
      <c r="A1011" s="152"/>
      <c r="B1011" s="153"/>
      <c r="C1011" s="152"/>
      <c r="D1011" s="152"/>
      <c r="E1011" s="154">
        <v>5465.0</v>
      </c>
      <c r="F1011" s="152"/>
      <c r="G1011" s="155"/>
      <c r="H1011" s="153" t="s">
        <v>3164</v>
      </c>
      <c r="I1011" s="153" t="s">
        <v>519</v>
      </c>
      <c r="J1011" s="156">
        <v>1005.0</v>
      </c>
      <c r="K1011" s="157" t="s">
        <v>3165</v>
      </c>
      <c r="L1011" s="153" t="s">
        <v>3166</v>
      </c>
      <c r="M1011" s="153"/>
      <c r="N1011" s="153"/>
      <c r="O1011" s="153"/>
      <c r="P1011" s="153"/>
      <c r="Q1011" s="153"/>
      <c r="R1011" s="153"/>
      <c r="S1011" s="153"/>
      <c r="T1011" s="153"/>
    </row>
    <row r="1012">
      <c r="A1012" s="152"/>
      <c r="B1012" s="153"/>
      <c r="C1012" s="152"/>
      <c r="D1012" s="152"/>
      <c r="E1012" s="154">
        <v>5466.0</v>
      </c>
      <c r="F1012" s="152"/>
      <c r="G1012" s="155"/>
      <c r="H1012" s="153" t="s">
        <v>3167</v>
      </c>
      <c r="I1012" s="153" t="s">
        <v>2710</v>
      </c>
      <c r="J1012" s="156">
        <v>1006.0</v>
      </c>
      <c r="K1012" s="157" t="s">
        <v>3168</v>
      </c>
      <c r="L1012" s="158" t="s">
        <v>3169</v>
      </c>
      <c r="M1012" s="158"/>
      <c r="N1012" s="158"/>
      <c r="O1012" s="158"/>
      <c r="P1012" s="158"/>
      <c r="Q1012" s="158"/>
      <c r="R1012" s="158"/>
      <c r="S1012" s="158"/>
      <c r="T1012" s="158"/>
    </row>
    <row r="1013">
      <c r="A1013" s="152"/>
      <c r="B1013" s="153"/>
      <c r="C1013" s="152"/>
      <c r="D1013" s="152"/>
      <c r="E1013" s="154">
        <v>5511.0</v>
      </c>
      <c r="F1013" s="152"/>
      <c r="G1013" s="155"/>
      <c r="H1013" s="153" t="s">
        <v>3170</v>
      </c>
      <c r="I1013" s="153" t="s">
        <v>246</v>
      </c>
      <c r="J1013" s="156">
        <v>1007.0</v>
      </c>
      <c r="K1013" s="157" t="s">
        <v>3171</v>
      </c>
      <c r="L1013" s="153" t="s">
        <v>3172</v>
      </c>
      <c r="M1013" s="153"/>
      <c r="N1013" s="153"/>
      <c r="O1013" s="153"/>
      <c r="P1013" s="153"/>
      <c r="Q1013" s="153"/>
      <c r="R1013" s="153"/>
      <c r="S1013" s="153"/>
      <c r="T1013" s="153"/>
    </row>
    <row r="1014">
      <c r="A1014" s="152"/>
      <c r="B1014" s="153"/>
      <c r="C1014" s="152"/>
      <c r="D1014" s="152"/>
      <c r="E1014" s="154">
        <v>5512.0</v>
      </c>
      <c r="F1014" s="152"/>
      <c r="G1014" s="155"/>
      <c r="H1014" s="153" t="s">
        <v>3173</v>
      </c>
      <c r="I1014" s="153" t="s">
        <v>2710</v>
      </c>
      <c r="J1014" s="156">
        <v>1008.0</v>
      </c>
      <c r="K1014" s="157" t="s">
        <v>3174</v>
      </c>
      <c r="L1014" s="153" t="s">
        <v>3175</v>
      </c>
      <c r="M1014" s="153"/>
      <c r="N1014" s="153"/>
      <c r="O1014" s="153"/>
      <c r="P1014" s="153"/>
      <c r="Q1014" s="153"/>
      <c r="R1014" s="153"/>
      <c r="S1014" s="153"/>
      <c r="T1014" s="153"/>
    </row>
    <row r="1015">
      <c r="A1015" s="152"/>
      <c r="B1015" s="153"/>
      <c r="C1015" s="152"/>
      <c r="D1015" s="152"/>
      <c r="E1015" s="154">
        <v>5513.0</v>
      </c>
      <c r="F1015" s="152"/>
      <c r="G1015" s="155"/>
      <c r="H1015" s="153" t="s">
        <v>3176</v>
      </c>
      <c r="I1015" s="153" t="s">
        <v>1526</v>
      </c>
      <c r="J1015" s="156">
        <v>1009.0</v>
      </c>
      <c r="K1015" s="157" t="s">
        <v>3177</v>
      </c>
      <c r="L1015" s="158" t="s">
        <v>3178</v>
      </c>
      <c r="M1015" s="158"/>
      <c r="N1015" s="158"/>
      <c r="O1015" s="158"/>
      <c r="P1015" s="158"/>
      <c r="Q1015" s="158"/>
      <c r="R1015" s="158"/>
      <c r="S1015" s="158"/>
      <c r="T1015" s="158"/>
    </row>
    <row r="1016">
      <c r="A1016" s="152"/>
      <c r="B1016" s="153"/>
      <c r="C1016" s="152"/>
      <c r="D1016" s="152"/>
      <c r="E1016" s="154">
        <v>5514.0</v>
      </c>
      <c r="F1016" s="152"/>
      <c r="G1016" s="155"/>
      <c r="H1016" s="153" t="s">
        <v>3179</v>
      </c>
      <c r="I1016" s="153" t="s">
        <v>230</v>
      </c>
      <c r="J1016" s="156">
        <v>1010.0</v>
      </c>
      <c r="K1016" s="157" t="s">
        <v>3180</v>
      </c>
      <c r="L1016" s="153" t="s">
        <v>3181</v>
      </c>
      <c r="M1016" s="153"/>
      <c r="N1016" s="153"/>
      <c r="O1016" s="153"/>
      <c r="P1016" s="153"/>
      <c r="Q1016" s="153"/>
      <c r="R1016" s="153"/>
      <c r="S1016" s="153"/>
      <c r="T1016" s="153"/>
    </row>
    <row r="1017">
      <c r="A1017" s="152"/>
      <c r="B1017" s="153"/>
      <c r="C1017" s="152"/>
      <c r="D1017" s="152"/>
      <c r="E1017" s="154">
        <v>5515.0</v>
      </c>
      <c r="F1017" s="152"/>
      <c r="G1017" s="155"/>
      <c r="H1017" s="153" t="s">
        <v>3182</v>
      </c>
      <c r="I1017" s="153" t="s">
        <v>3183</v>
      </c>
      <c r="J1017" s="156">
        <v>1011.0</v>
      </c>
      <c r="K1017" s="157" t="s">
        <v>3184</v>
      </c>
      <c r="L1017" s="153" t="s">
        <v>3185</v>
      </c>
      <c r="M1017" s="153"/>
      <c r="N1017" s="153"/>
      <c r="O1017" s="153"/>
      <c r="P1017" s="153"/>
      <c r="Q1017" s="153"/>
      <c r="R1017" s="153"/>
      <c r="S1017" s="153"/>
      <c r="T1017" s="153"/>
    </row>
    <row r="1018">
      <c r="A1018" s="152"/>
      <c r="B1018" s="153"/>
      <c r="C1018" s="152"/>
      <c r="D1018" s="152"/>
      <c r="E1018" s="154">
        <v>5516.0</v>
      </c>
      <c r="F1018" s="152"/>
      <c r="G1018" s="155"/>
      <c r="H1018" s="153" t="s">
        <v>3186</v>
      </c>
      <c r="I1018" s="153" t="s">
        <v>182</v>
      </c>
      <c r="J1018" s="156">
        <v>1012.0</v>
      </c>
      <c r="K1018" s="157" t="s">
        <v>3187</v>
      </c>
      <c r="L1018" s="153" t="s">
        <v>3188</v>
      </c>
      <c r="M1018" s="153"/>
      <c r="N1018" s="153"/>
      <c r="O1018" s="153"/>
      <c r="P1018" s="153"/>
      <c r="Q1018" s="153"/>
      <c r="R1018" s="153"/>
      <c r="S1018" s="153"/>
      <c r="T1018" s="153"/>
    </row>
    <row r="1019">
      <c r="A1019" s="152"/>
      <c r="B1019" s="153"/>
      <c r="C1019" s="152"/>
      <c r="D1019" s="152"/>
      <c r="E1019" s="154">
        <v>5521.0</v>
      </c>
      <c r="F1019" s="152"/>
      <c r="G1019" s="155"/>
      <c r="H1019" s="153" t="s">
        <v>3189</v>
      </c>
      <c r="I1019" s="153" t="s">
        <v>182</v>
      </c>
      <c r="J1019" s="156">
        <v>1013.0</v>
      </c>
      <c r="K1019" s="157" t="s">
        <v>3190</v>
      </c>
      <c r="L1019" s="153" t="s">
        <v>3191</v>
      </c>
      <c r="M1019" s="153"/>
      <c r="N1019" s="153"/>
      <c r="O1019" s="153"/>
      <c r="P1019" s="153"/>
      <c r="Q1019" s="153"/>
      <c r="R1019" s="153"/>
      <c r="S1019" s="153"/>
      <c r="T1019" s="153"/>
    </row>
    <row r="1020">
      <c r="A1020" s="152"/>
      <c r="B1020" s="153"/>
      <c r="C1020" s="152"/>
      <c r="D1020" s="152"/>
      <c r="E1020" s="154">
        <v>5522.0</v>
      </c>
      <c r="F1020" s="152"/>
      <c r="G1020" s="155"/>
      <c r="H1020" s="153" t="s">
        <v>3192</v>
      </c>
      <c r="I1020" s="153" t="s">
        <v>246</v>
      </c>
      <c r="J1020" s="156">
        <v>1014.0</v>
      </c>
      <c r="K1020" s="157" t="s">
        <v>3184</v>
      </c>
      <c r="L1020" s="158" t="s">
        <v>3193</v>
      </c>
      <c r="M1020" s="158"/>
      <c r="N1020" s="158"/>
      <c r="O1020" s="158"/>
      <c r="P1020" s="158"/>
      <c r="Q1020" s="158"/>
      <c r="R1020" s="158"/>
      <c r="S1020" s="158"/>
      <c r="T1020" s="158"/>
    </row>
    <row r="1021">
      <c r="A1021" s="152"/>
      <c r="B1021" s="153"/>
      <c r="C1021" s="152"/>
      <c r="D1021" s="152"/>
      <c r="E1021" s="154">
        <v>5523.0</v>
      </c>
      <c r="F1021" s="152"/>
      <c r="G1021" s="155"/>
      <c r="H1021" s="153" t="s">
        <v>3194</v>
      </c>
      <c r="I1021" s="153" t="s">
        <v>463</v>
      </c>
      <c r="J1021" s="156">
        <v>1015.0</v>
      </c>
      <c r="K1021" s="157" t="s">
        <v>3195</v>
      </c>
      <c r="L1021" s="153" t="s">
        <v>3196</v>
      </c>
      <c r="M1021" s="153"/>
      <c r="N1021" s="153"/>
      <c r="O1021" s="153"/>
      <c r="P1021" s="153"/>
      <c r="Q1021" s="153"/>
      <c r="R1021" s="153"/>
      <c r="S1021" s="153"/>
      <c r="T1021" s="153"/>
    </row>
    <row r="1022">
      <c r="A1022" s="152"/>
      <c r="B1022" s="153"/>
      <c r="C1022" s="152"/>
      <c r="D1022" s="152"/>
      <c r="E1022" s="154">
        <v>5524.0</v>
      </c>
      <c r="F1022" s="152"/>
      <c r="G1022" s="155"/>
      <c r="H1022" s="153" t="s">
        <v>3197</v>
      </c>
      <c r="I1022" s="153" t="s">
        <v>2492</v>
      </c>
      <c r="J1022" s="156">
        <v>1016.0</v>
      </c>
      <c r="K1022" s="157" t="s">
        <v>3198</v>
      </c>
      <c r="L1022" s="158" t="s">
        <v>3199</v>
      </c>
      <c r="M1022" s="158"/>
      <c r="N1022" s="158"/>
      <c r="O1022" s="158"/>
      <c r="P1022" s="158"/>
      <c r="Q1022" s="158"/>
      <c r="R1022" s="158"/>
      <c r="S1022" s="158"/>
      <c r="T1022" s="158"/>
    </row>
    <row r="1023">
      <c r="A1023" s="152"/>
      <c r="B1023" s="153"/>
      <c r="C1023" s="152"/>
      <c r="D1023" s="152"/>
      <c r="E1023" s="154">
        <v>5525.0</v>
      </c>
      <c r="F1023" s="152"/>
      <c r="G1023" s="155"/>
      <c r="H1023" s="153" t="s">
        <v>3200</v>
      </c>
      <c r="I1023" s="153" t="s">
        <v>156</v>
      </c>
      <c r="J1023" s="156">
        <v>1017.0</v>
      </c>
      <c r="K1023" s="157" t="s">
        <v>3201</v>
      </c>
      <c r="L1023" s="153" t="s">
        <v>3202</v>
      </c>
      <c r="M1023" s="153"/>
      <c r="N1023" s="153"/>
      <c r="O1023" s="153"/>
      <c r="P1023" s="153"/>
      <c r="Q1023" s="153"/>
      <c r="R1023" s="153"/>
      <c r="S1023" s="153"/>
      <c r="T1023" s="153"/>
    </row>
    <row r="1024">
      <c r="A1024" s="152"/>
      <c r="B1024" s="153"/>
      <c r="C1024" s="152"/>
      <c r="D1024" s="152"/>
      <c r="E1024" s="154">
        <v>5526.0</v>
      </c>
      <c r="F1024" s="152"/>
      <c r="G1024" s="155"/>
      <c r="H1024" s="153" t="s">
        <v>3203</v>
      </c>
      <c r="I1024" s="153" t="s">
        <v>2130</v>
      </c>
      <c r="J1024" s="156">
        <v>1018.0</v>
      </c>
      <c r="K1024" s="157" t="s">
        <v>3204</v>
      </c>
      <c r="L1024" s="158" t="s">
        <v>3205</v>
      </c>
      <c r="M1024" s="158"/>
      <c r="N1024" s="158"/>
      <c r="O1024" s="158"/>
      <c r="P1024" s="158"/>
      <c r="Q1024" s="158"/>
      <c r="R1024" s="158"/>
      <c r="S1024" s="158"/>
      <c r="T1024" s="158"/>
    </row>
    <row r="1025">
      <c r="A1025" s="152"/>
      <c r="B1025" s="153"/>
      <c r="C1025" s="152"/>
      <c r="D1025" s="152"/>
      <c r="E1025" s="154">
        <v>5531.0</v>
      </c>
      <c r="F1025" s="152"/>
      <c r="G1025" s="155"/>
      <c r="H1025" s="153" t="s">
        <v>3206</v>
      </c>
      <c r="I1025" s="153" t="s">
        <v>156</v>
      </c>
      <c r="J1025" s="156">
        <v>1019.0</v>
      </c>
      <c r="K1025" s="157" t="s">
        <v>3207</v>
      </c>
      <c r="L1025" s="153" t="s">
        <v>3208</v>
      </c>
      <c r="M1025" s="153"/>
      <c r="N1025" s="153"/>
      <c r="O1025" s="153"/>
      <c r="P1025" s="153"/>
      <c r="Q1025" s="153"/>
      <c r="R1025" s="153"/>
      <c r="S1025" s="153"/>
      <c r="T1025" s="153"/>
    </row>
    <row r="1026">
      <c r="A1026" s="152"/>
      <c r="B1026" s="153"/>
      <c r="C1026" s="152"/>
      <c r="D1026" s="152"/>
      <c r="E1026" s="154">
        <v>5532.0</v>
      </c>
      <c r="F1026" s="152"/>
      <c r="G1026" s="155"/>
      <c r="H1026" s="153" t="s">
        <v>3209</v>
      </c>
      <c r="I1026" s="153" t="s">
        <v>3210</v>
      </c>
      <c r="J1026" s="156">
        <v>1020.0</v>
      </c>
      <c r="K1026" s="157" t="s">
        <v>3211</v>
      </c>
      <c r="L1026" s="153" t="s">
        <v>3212</v>
      </c>
      <c r="M1026" s="153"/>
      <c r="N1026" s="153"/>
      <c r="O1026" s="153"/>
      <c r="P1026" s="153"/>
      <c r="Q1026" s="153"/>
      <c r="R1026" s="153"/>
      <c r="S1026" s="153"/>
      <c r="T1026" s="153"/>
    </row>
    <row r="1027">
      <c r="A1027" s="152"/>
      <c r="B1027" s="153"/>
      <c r="C1027" s="152"/>
      <c r="D1027" s="152"/>
      <c r="E1027" s="154">
        <v>5533.0</v>
      </c>
      <c r="F1027" s="152"/>
      <c r="G1027" s="155"/>
      <c r="H1027" s="153" t="s">
        <v>3213</v>
      </c>
      <c r="I1027" s="153" t="s">
        <v>3214</v>
      </c>
      <c r="J1027" s="156">
        <v>1021.0</v>
      </c>
      <c r="K1027" s="157" t="s">
        <v>3215</v>
      </c>
      <c r="L1027" s="153" t="s">
        <v>3216</v>
      </c>
      <c r="M1027" s="153"/>
      <c r="N1027" s="153"/>
      <c r="O1027" s="153"/>
      <c r="P1027" s="153"/>
      <c r="Q1027" s="153"/>
      <c r="R1027" s="153"/>
      <c r="S1027" s="153"/>
      <c r="T1027" s="153"/>
    </row>
    <row r="1028">
      <c r="A1028" s="152"/>
      <c r="B1028" s="153"/>
      <c r="C1028" s="152"/>
      <c r="D1028" s="152"/>
      <c r="E1028" s="154">
        <v>5534.0</v>
      </c>
      <c r="F1028" s="152"/>
      <c r="G1028" s="155"/>
      <c r="H1028" s="153" t="s">
        <v>3217</v>
      </c>
      <c r="I1028" s="153" t="s">
        <v>230</v>
      </c>
      <c r="J1028" s="156">
        <v>1022.0</v>
      </c>
      <c r="K1028" s="157" t="s">
        <v>3218</v>
      </c>
      <c r="L1028" s="153" t="s">
        <v>3219</v>
      </c>
      <c r="M1028" s="153"/>
      <c r="N1028" s="153"/>
      <c r="O1028" s="153"/>
      <c r="P1028" s="153"/>
      <c r="Q1028" s="153"/>
      <c r="R1028" s="153"/>
      <c r="S1028" s="153"/>
      <c r="T1028" s="153"/>
    </row>
    <row r="1029">
      <c r="A1029" s="152"/>
      <c r="B1029" s="153"/>
      <c r="C1029" s="152"/>
      <c r="D1029" s="152"/>
      <c r="E1029" s="154">
        <v>5535.0</v>
      </c>
      <c r="F1029" s="152"/>
      <c r="G1029" s="155"/>
      <c r="H1029" s="153" t="s">
        <v>3220</v>
      </c>
      <c r="I1029" s="153" t="s">
        <v>156</v>
      </c>
      <c r="J1029" s="156">
        <v>1023.0</v>
      </c>
      <c r="K1029" s="157" t="s">
        <v>3221</v>
      </c>
      <c r="L1029" s="153" t="s">
        <v>3222</v>
      </c>
      <c r="M1029" s="153"/>
      <c r="N1029" s="153"/>
      <c r="O1029" s="153"/>
      <c r="P1029" s="153"/>
      <c r="Q1029" s="153"/>
      <c r="R1029" s="153"/>
      <c r="S1029" s="153"/>
      <c r="T1029" s="153"/>
    </row>
    <row r="1030">
      <c r="A1030" s="152"/>
      <c r="B1030" s="153"/>
      <c r="C1030" s="152"/>
      <c r="D1030" s="152"/>
      <c r="E1030" s="154">
        <v>5536.0</v>
      </c>
      <c r="F1030" s="152"/>
      <c r="G1030" s="155"/>
      <c r="H1030" s="153" t="s">
        <v>3223</v>
      </c>
      <c r="I1030" s="153" t="s">
        <v>230</v>
      </c>
      <c r="J1030" s="156">
        <v>1024.0</v>
      </c>
      <c r="K1030" s="157" t="s">
        <v>3224</v>
      </c>
      <c r="L1030" s="153" t="s">
        <v>3225</v>
      </c>
      <c r="M1030" s="153"/>
      <c r="N1030" s="153"/>
      <c r="O1030" s="153"/>
      <c r="P1030" s="153"/>
      <c r="Q1030" s="153"/>
      <c r="R1030" s="153"/>
      <c r="S1030" s="153"/>
      <c r="T1030" s="153"/>
    </row>
    <row r="1031">
      <c r="A1031" s="152"/>
      <c r="B1031" s="153"/>
      <c r="C1031" s="152"/>
      <c r="D1031" s="152"/>
      <c r="E1031" s="154">
        <v>5541.0</v>
      </c>
      <c r="F1031" s="152"/>
      <c r="G1031" s="155"/>
      <c r="H1031" s="153" t="s">
        <v>3226</v>
      </c>
      <c r="I1031" s="153" t="s">
        <v>230</v>
      </c>
      <c r="J1031" s="156">
        <v>1025.0</v>
      </c>
      <c r="K1031" s="157" t="s">
        <v>2895</v>
      </c>
      <c r="L1031" s="158" t="s">
        <v>3227</v>
      </c>
      <c r="M1031" s="158"/>
      <c r="N1031" s="158"/>
      <c r="O1031" s="158"/>
      <c r="P1031" s="158"/>
      <c r="Q1031" s="158"/>
      <c r="R1031" s="158"/>
      <c r="S1031" s="158"/>
      <c r="T1031" s="158"/>
    </row>
    <row r="1032">
      <c r="A1032" s="152"/>
      <c r="B1032" s="153"/>
      <c r="C1032" s="152"/>
      <c r="D1032" s="152"/>
      <c r="E1032" s="154">
        <v>5542.0</v>
      </c>
      <c r="F1032" s="152"/>
      <c r="G1032" s="155"/>
      <c r="H1032" s="153" t="s">
        <v>3228</v>
      </c>
      <c r="I1032" s="153" t="s">
        <v>246</v>
      </c>
      <c r="J1032" s="156">
        <v>1026.0</v>
      </c>
      <c r="K1032" s="157" t="s">
        <v>3229</v>
      </c>
      <c r="L1032" s="153" t="s">
        <v>2899</v>
      </c>
      <c r="M1032" s="153"/>
      <c r="N1032" s="153"/>
      <c r="O1032" s="153"/>
      <c r="P1032" s="153"/>
      <c r="Q1032" s="153"/>
      <c r="R1032" s="153"/>
      <c r="S1032" s="153"/>
      <c r="T1032" s="153"/>
    </row>
    <row r="1033">
      <c r="A1033" s="152"/>
      <c r="B1033" s="153"/>
      <c r="C1033" s="152"/>
      <c r="D1033" s="152"/>
      <c r="E1033" s="154">
        <v>5543.0</v>
      </c>
      <c r="F1033" s="152"/>
      <c r="G1033" s="155"/>
      <c r="H1033" s="153" t="s">
        <v>3230</v>
      </c>
      <c r="I1033" s="153" t="s">
        <v>230</v>
      </c>
      <c r="J1033" s="156">
        <v>1027.0</v>
      </c>
      <c r="K1033" s="157" t="s">
        <v>3231</v>
      </c>
      <c r="L1033" s="153" t="s">
        <v>3232</v>
      </c>
      <c r="M1033" s="153"/>
      <c r="N1033" s="153"/>
      <c r="O1033" s="153"/>
      <c r="P1033" s="153"/>
      <c r="Q1033" s="153"/>
      <c r="R1033" s="153"/>
      <c r="S1033" s="153"/>
      <c r="T1033" s="153"/>
    </row>
    <row r="1034">
      <c r="A1034" s="152"/>
      <c r="B1034" s="153"/>
      <c r="C1034" s="152"/>
      <c r="D1034" s="152"/>
      <c r="E1034" s="154">
        <v>5544.0</v>
      </c>
      <c r="F1034" s="152"/>
      <c r="G1034" s="155"/>
      <c r="H1034" s="153" t="s">
        <v>3233</v>
      </c>
      <c r="I1034" s="153" t="s">
        <v>230</v>
      </c>
      <c r="J1034" s="156">
        <v>1028.0</v>
      </c>
      <c r="K1034" s="157" t="s">
        <v>3234</v>
      </c>
      <c r="L1034" s="153" t="s">
        <v>3235</v>
      </c>
      <c r="M1034" s="153"/>
      <c r="N1034" s="153"/>
      <c r="O1034" s="153"/>
      <c r="P1034" s="153"/>
      <c r="Q1034" s="153"/>
      <c r="R1034" s="153"/>
      <c r="S1034" s="153"/>
      <c r="T1034" s="153"/>
    </row>
    <row r="1035">
      <c r="A1035" s="152"/>
      <c r="B1035" s="153"/>
      <c r="C1035" s="152"/>
      <c r="D1035" s="152"/>
      <c r="E1035" s="154">
        <v>5545.0</v>
      </c>
      <c r="F1035" s="152"/>
      <c r="G1035" s="155"/>
      <c r="H1035" s="153" t="s">
        <v>3236</v>
      </c>
      <c r="I1035" s="153" t="s">
        <v>230</v>
      </c>
      <c r="J1035" s="156">
        <v>1029.0</v>
      </c>
      <c r="K1035" s="157" t="s">
        <v>3237</v>
      </c>
      <c r="L1035" s="153" t="s">
        <v>3238</v>
      </c>
      <c r="M1035" s="153"/>
      <c r="N1035" s="153"/>
      <c r="O1035" s="153"/>
      <c r="P1035" s="153"/>
      <c r="Q1035" s="153"/>
      <c r="R1035" s="153"/>
      <c r="S1035" s="153"/>
      <c r="T1035" s="153"/>
    </row>
    <row r="1036">
      <c r="A1036" s="152"/>
      <c r="B1036" s="153"/>
      <c r="C1036" s="152"/>
      <c r="D1036" s="152"/>
      <c r="E1036" s="154">
        <v>5546.0</v>
      </c>
      <c r="F1036" s="152"/>
      <c r="G1036" s="155"/>
      <c r="H1036" s="153" t="s">
        <v>3239</v>
      </c>
      <c r="I1036" s="153" t="s">
        <v>509</v>
      </c>
      <c r="J1036" s="156">
        <v>1030.0</v>
      </c>
      <c r="K1036" s="157" t="s">
        <v>3240</v>
      </c>
      <c r="L1036" s="158" t="s">
        <v>3241</v>
      </c>
      <c r="M1036" s="158"/>
      <c r="N1036" s="158"/>
      <c r="O1036" s="158"/>
      <c r="P1036" s="158"/>
      <c r="Q1036" s="158"/>
      <c r="R1036" s="158"/>
      <c r="S1036" s="158"/>
      <c r="T1036" s="158"/>
    </row>
    <row r="1037">
      <c r="A1037" s="152"/>
      <c r="B1037" s="153"/>
      <c r="C1037" s="152"/>
      <c r="D1037" s="152"/>
      <c r="E1037" s="154">
        <v>5551.0</v>
      </c>
      <c r="F1037" s="152"/>
      <c r="G1037" s="155"/>
      <c r="H1037" s="153" t="s">
        <v>3242</v>
      </c>
      <c r="I1037" s="153" t="s">
        <v>434</v>
      </c>
      <c r="J1037" s="156">
        <v>1031.0</v>
      </c>
      <c r="K1037" s="157" t="s">
        <v>3243</v>
      </c>
      <c r="L1037" s="153" t="s">
        <v>3244</v>
      </c>
      <c r="M1037" s="153"/>
      <c r="N1037" s="153"/>
      <c r="O1037" s="153"/>
      <c r="P1037" s="153"/>
      <c r="Q1037" s="153"/>
      <c r="R1037" s="153"/>
      <c r="S1037" s="153"/>
      <c r="T1037" s="153"/>
    </row>
    <row r="1038">
      <c r="A1038" s="152"/>
      <c r="B1038" s="153"/>
      <c r="C1038" s="152"/>
      <c r="D1038" s="152"/>
      <c r="E1038" s="154">
        <v>5552.0</v>
      </c>
      <c r="F1038" s="152"/>
      <c r="G1038" s="155"/>
      <c r="H1038" s="153" t="s">
        <v>3245</v>
      </c>
      <c r="I1038" s="153" t="s">
        <v>156</v>
      </c>
      <c r="J1038" s="156">
        <v>1032.0</v>
      </c>
      <c r="K1038" s="157" t="s">
        <v>3246</v>
      </c>
      <c r="L1038" s="153" t="s">
        <v>3247</v>
      </c>
      <c r="M1038" s="153"/>
      <c r="N1038" s="153"/>
      <c r="O1038" s="153"/>
      <c r="P1038" s="153"/>
      <c r="Q1038" s="153"/>
      <c r="R1038" s="153"/>
      <c r="S1038" s="153"/>
      <c r="T1038" s="153"/>
    </row>
    <row r="1039">
      <c r="A1039" s="152"/>
      <c r="B1039" s="153"/>
      <c r="C1039" s="152"/>
      <c r="D1039" s="152"/>
      <c r="E1039" s="154">
        <v>5553.0</v>
      </c>
      <c r="F1039" s="152"/>
      <c r="G1039" s="155"/>
      <c r="H1039" s="153" t="s">
        <v>3248</v>
      </c>
      <c r="I1039" s="153" t="s">
        <v>167</v>
      </c>
      <c r="J1039" s="156">
        <v>1033.0</v>
      </c>
      <c r="K1039" s="157" t="s">
        <v>3249</v>
      </c>
      <c r="L1039" s="158" t="s">
        <v>3250</v>
      </c>
      <c r="M1039" s="158"/>
      <c r="N1039" s="158"/>
      <c r="O1039" s="158"/>
      <c r="P1039" s="158"/>
      <c r="Q1039" s="158"/>
      <c r="R1039" s="158"/>
      <c r="S1039" s="158"/>
      <c r="T1039" s="158"/>
    </row>
    <row r="1040">
      <c r="A1040" s="152"/>
      <c r="B1040" s="153"/>
      <c r="C1040" s="152"/>
      <c r="D1040" s="152"/>
      <c r="E1040" s="154">
        <v>5554.0</v>
      </c>
      <c r="F1040" s="152"/>
      <c r="G1040" s="155"/>
      <c r="H1040" s="153" t="s">
        <v>3251</v>
      </c>
      <c r="I1040" s="153" t="s">
        <v>167</v>
      </c>
      <c r="J1040" s="156">
        <v>1034.0</v>
      </c>
      <c r="K1040" s="157" t="s">
        <v>3252</v>
      </c>
      <c r="L1040" s="153" t="s">
        <v>3253</v>
      </c>
      <c r="M1040" s="153"/>
      <c r="N1040" s="153"/>
      <c r="O1040" s="153"/>
      <c r="P1040" s="153"/>
      <c r="Q1040" s="153"/>
      <c r="R1040" s="153"/>
      <c r="S1040" s="153"/>
      <c r="T1040" s="153"/>
    </row>
    <row r="1041">
      <c r="A1041" s="152"/>
      <c r="B1041" s="153"/>
      <c r="C1041" s="152"/>
      <c r="D1041" s="152"/>
      <c r="E1041" s="154">
        <v>5555.0</v>
      </c>
      <c r="F1041" s="152"/>
      <c r="G1041" s="155"/>
      <c r="H1041" s="153" t="s">
        <v>3254</v>
      </c>
      <c r="I1041" s="153" t="s">
        <v>167</v>
      </c>
      <c r="J1041" s="156">
        <v>1035.0</v>
      </c>
      <c r="K1041" s="157" t="s">
        <v>3255</v>
      </c>
      <c r="L1041" s="153" t="s">
        <v>3256</v>
      </c>
      <c r="M1041" s="153"/>
      <c r="N1041" s="153"/>
      <c r="O1041" s="153"/>
      <c r="P1041" s="153"/>
      <c r="Q1041" s="153"/>
      <c r="R1041" s="153"/>
      <c r="S1041" s="153"/>
      <c r="T1041" s="153"/>
    </row>
    <row r="1042">
      <c r="A1042" s="152"/>
      <c r="B1042" s="153"/>
      <c r="C1042" s="152"/>
      <c r="D1042" s="152"/>
      <c r="E1042" s="154">
        <v>5556.0</v>
      </c>
      <c r="F1042" s="152"/>
      <c r="G1042" s="155"/>
      <c r="H1042" s="153" t="s">
        <v>3254</v>
      </c>
      <c r="I1042" s="153" t="s">
        <v>167</v>
      </c>
      <c r="J1042" s="156">
        <v>1036.0</v>
      </c>
      <c r="K1042" s="157" t="s">
        <v>3257</v>
      </c>
      <c r="L1042" s="153" t="s">
        <v>3256</v>
      </c>
      <c r="M1042" s="153"/>
      <c r="N1042" s="153"/>
      <c r="O1042" s="153"/>
      <c r="P1042" s="153"/>
      <c r="Q1042" s="153"/>
      <c r="R1042" s="153"/>
      <c r="S1042" s="153"/>
      <c r="T1042" s="153"/>
    </row>
    <row r="1043">
      <c r="A1043" s="152"/>
      <c r="B1043" s="153"/>
      <c r="C1043" s="152"/>
      <c r="D1043" s="152"/>
      <c r="E1043" s="154">
        <v>5561.0</v>
      </c>
      <c r="F1043" s="152"/>
      <c r="G1043" s="155"/>
      <c r="H1043" s="153" t="s">
        <v>3258</v>
      </c>
      <c r="I1043" s="153" t="s">
        <v>230</v>
      </c>
      <c r="J1043" s="156">
        <v>1037.0</v>
      </c>
      <c r="K1043" s="157" t="s">
        <v>3259</v>
      </c>
      <c r="L1043" s="153" t="s">
        <v>3260</v>
      </c>
      <c r="M1043" s="153"/>
      <c r="N1043" s="153"/>
      <c r="O1043" s="153"/>
      <c r="P1043" s="153"/>
      <c r="Q1043" s="153"/>
      <c r="R1043" s="153"/>
      <c r="S1043" s="153"/>
      <c r="T1043" s="153"/>
    </row>
    <row r="1044">
      <c r="A1044" s="152"/>
      <c r="B1044" s="153"/>
      <c r="C1044" s="152"/>
      <c r="D1044" s="152"/>
      <c r="E1044" s="154">
        <v>5562.0</v>
      </c>
      <c r="F1044" s="152"/>
      <c r="G1044" s="155"/>
      <c r="H1044" s="153" t="s">
        <v>3261</v>
      </c>
      <c r="I1044" s="153" t="s">
        <v>3262</v>
      </c>
      <c r="J1044" s="156">
        <v>1038.0</v>
      </c>
      <c r="K1044" s="157" t="s">
        <v>3263</v>
      </c>
      <c r="L1044" s="153" t="s">
        <v>3264</v>
      </c>
      <c r="M1044" s="153"/>
      <c r="N1044" s="153"/>
      <c r="O1044" s="153"/>
      <c r="P1044" s="153"/>
      <c r="Q1044" s="153"/>
      <c r="R1044" s="153"/>
      <c r="S1044" s="153"/>
      <c r="T1044" s="153"/>
    </row>
    <row r="1045">
      <c r="A1045" s="152"/>
      <c r="B1045" s="153"/>
      <c r="C1045" s="152"/>
      <c r="D1045" s="152"/>
      <c r="E1045" s="154">
        <v>5563.0</v>
      </c>
      <c r="F1045" s="152"/>
      <c r="G1045" s="155"/>
      <c r="H1045" s="153" t="s">
        <v>3265</v>
      </c>
      <c r="I1045" s="153" t="s">
        <v>519</v>
      </c>
      <c r="J1045" s="156">
        <v>1039.0</v>
      </c>
      <c r="K1045" s="157" t="s">
        <v>3266</v>
      </c>
      <c r="L1045" s="153" t="s">
        <v>3267</v>
      </c>
      <c r="M1045" s="153"/>
      <c r="N1045" s="153"/>
      <c r="O1045" s="153"/>
      <c r="P1045" s="153"/>
      <c r="Q1045" s="153"/>
      <c r="R1045" s="153"/>
      <c r="S1045" s="153"/>
      <c r="T1045" s="153"/>
    </row>
    <row r="1046">
      <c r="A1046" s="152"/>
      <c r="B1046" s="153"/>
      <c r="C1046" s="152"/>
      <c r="D1046" s="152"/>
      <c r="E1046" s="154">
        <v>5564.0</v>
      </c>
      <c r="F1046" s="152"/>
      <c r="G1046" s="155"/>
      <c r="H1046" s="153" t="s">
        <v>3268</v>
      </c>
      <c r="I1046" s="153" t="s">
        <v>3269</v>
      </c>
      <c r="J1046" s="156">
        <v>1040.0</v>
      </c>
      <c r="K1046" s="157" t="s">
        <v>3263</v>
      </c>
      <c r="L1046" s="153" t="s">
        <v>3270</v>
      </c>
      <c r="M1046" s="153"/>
      <c r="N1046" s="153"/>
      <c r="O1046" s="153"/>
      <c r="P1046" s="153"/>
      <c r="Q1046" s="153"/>
      <c r="R1046" s="153"/>
      <c r="S1046" s="153"/>
      <c r="T1046" s="153"/>
    </row>
    <row r="1047">
      <c r="A1047" s="152"/>
      <c r="B1047" s="153"/>
      <c r="C1047" s="152"/>
      <c r="D1047" s="152"/>
      <c r="E1047" s="154">
        <v>5565.0</v>
      </c>
      <c r="F1047" s="152"/>
      <c r="G1047" s="155"/>
      <c r="H1047" s="153" t="s">
        <v>3271</v>
      </c>
      <c r="I1047" s="153" t="s">
        <v>3272</v>
      </c>
      <c r="J1047" s="156">
        <v>1041.0</v>
      </c>
      <c r="K1047" s="157" t="s">
        <v>3273</v>
      </c>
      <c r="L1047" s="153" t="s">
        <v>3267</v>
      </c>
      <c r="M1047" s="153"/>
      <c r="N1047" s="153"/>
      <c r="O1047" s="153"/>
      <c r="P1047" s="153"/>
      <c r="Q1047" s="153"/>
      <c r="R1047" s="153"/>
      <c r="S1047" s="153"/>
      <c r="T1047" s="153"/>
    </row>
    <row r="1048">
      <c r="A1048" s="152"/>
      <c r="B1048" s="153"/>
      <c r="C1048" s="152"/>
      <c r="D1048" s="152"/>
      <c r="E1048" s="154">
        <v>5566.0</v>
      </c>
      <c r="F1048" s="152"/>
      <c r="G1048" s="155"/>
      <c r="H1048" s="153" t="s">
        <v>3274</v>
      </c>
      <c r="I1048" s="153" t="s">
        <v>3269</v>
      </c>
      <c r="J1048" s="156">
        <v>1042.0</v>
      </c>
      <c r="K1048" s="157" t="s">
        <v>3275</v>
      </c>
      <c r="L1048" s="158" t="s">
        <v>3276</v>
      </c>
      <c r="M1048" s="158"/>
      <c r="N1048" s="158"/>
      <c r="O1048" s="158"/>
      <c r="P1048" s="158"/>
      <c r="Q1048" s="158"/>
      <c r="R1048" s="158"/>
      <c r="S1048" s="158"/>
      <c r="T1048" s="158"/>
    </row>
    <row r="1049">
      <c r="A1049" s="152"/>
      <c r="B1049" s="153"/>
      <c r="C1049" s="152"/>
      <c r="D1049" s="152"/>
      <c r="E1049" s="154">
        <v>5611.0</v>
      </c>
      <c r="F1049" s="152"/>
      <c r="G1049" s="155"/>
      <c r="H1049" s="153" t="s">
        <v>3277</v>
      </c>
      <c r="I1049" s="153" t="s">
        <v>246</v>
      </c>
      <c r="J1049" s="156">
        <v>1043.0</v>
      </c>
      <c r="K1049" s="157" t="s">
        <v>3278</v>
      </c>
      <c r="L1049" s="158" t="s">
        <v>3279</v>
      </c>
      <c r="M1049" s="158"/>
      <c r="N1049" s="158"/>
      <c r="O1049" s="158"/>
      <c r="P1049" s="158"/>
      <c r="Q1049" s="158"/>
      <c r="R1049" s="158"/>
      <c r="S1049" s="158"/>
      <c r="T1049" s="158"/>
    </row>
    <row r="1050">
      <c r="A1050" s="152"/>
      <c r="B1050" s="153"/>
      <c r="C1050" s="152"/>
      <c r="D1050" s="152"/>
      <c r="E1050" s="154">
        <v>5612.0</v>
      </c>
      <c r="F1050" s="152"/>
      <c r="G1050" s="155"/>
      <c r="H1050" s="153" t="s">
        <v>3280</v>
      </c>
      <c r="I1050" s="153" t="s">
        <v>156</v>
      </c>
      <c r="J1050" s="156">
        <v>1044.0</v>
      </c>
      <c r="K1050" s="157" t="s">
        <v>3281</v>
      </c>
      <c r="L1050" s="158" t="s">
        <v>3282</v>
      </c>
      <c r="M1050" s="158"/>
      <c r="N1050" s="158"/>
      <c r="O1050" s="158"/>
      <c r="P1050" s="158"/>
      <c r="Q1050" s="158"/>
      <c r="R1050" s="158"/>
      <c r="S1050" s="158"/>
      <c r="T1050" s="158"/>
    </row>
    <row r="1051">
      <c r="A1051" s="152"/>
      <c r="B1051" s="153"/>
      <c r="C1051" s="152"/>
      <c r="D1051" s="152"/>
      <c r="E1051" s="154">
        <v>5613.0</v>
      </c>
      <c r="F1051" s="152"/>
      <c r="G1051" s="155"/>
      <c r="H1051" s="153" t="s">
        <v>3283</v>
      </c>
      <c r="I1051" s="153" t="s">
        <v>2076</v>
      </c>
      <c r="J1051" s="156">
        <v>1045.0</v>
      </c>
      <c r="K1051" s="157" t="s">
        <v>3284</v>
      </c>
      <c r="L1051" s="153" t="s">
        <v>3285</v>
      </c>
      <c r="M1051" s="153"/>
      <c r="N1051" s="153"/>
      <c r="O1051" s="153"/>
      <c r="P1051" s="153"/>
      <c r="Q1051" s="153"/>
      <c r="R1051" s="153"/>
      <c r="S1051" s="153"/>
      <c r="T1051" s="153"/>
    </row>
    <row r="1052">
      <c r="A1052" s="152"/>
      <c r="B1052" s="153"/>
      <c r="C1052" s="152"/>
      <c r="D1052" s="152"/>
      <c r="E1052" s="154">
        <v>5614.0</v>
      </c>
      <c r="F1052" s="152"/>
      <c r="G1052" s="155"/>
      <c r="H1052" s="153" t="s">
        <v>3286</v>
      </c>
      <c r="I1052" s="153" t="s">
        <v>246</v>
      </c>
      <c r="J1052" s="156">
        <v>1046.0</v>
      </c>
      <c r="K1052" s="157" t="s">
        <v>3287</v>
      </c>
      <c r="L1052" s="158" t="s">
        <v>3288</v>
      </c>
      <c r="M1052" s="158"/>
      <c r="N1052" s="158"/>
      <c r="O1052" s="158"/>
      <c r="P1052" s="158"/>
      <c r="Q1052" s="158"/>
      <c r="R1052" s="158"/>
      <c r="S1052" s="158"/>
      <c r="T1052" s="158"/>
    </row>
    <row r="1053">
      <c r="A1053" s="152"/>
      <c r="B1053" s="153"/>
      <c r="C1053" s="152"/>
      <c r="D1053" s="152"/>
      <c r="E1053" s="154">
        <v>5615.0</v>
      </c>
      <c r="F1053" s="152"/>
      <c r="G1053" s="155"/>
      <c r="H1053" s="153" t="s">
        <v>3289</v>
      </c>
      <c r="I1053" s="153" t="s">
        <v>156</v>
      </c>
      <c r="J1053" s="156">
        <v>1047.0</v>
      </c>
      <c r="K1053" s="157" t="s">
        <v>3290</v>
      </c>
      <c r="L1053" s="153" t="s">
        <v>3291</v>
      </c>
      <c r="M1053" s="153"/>
      <c r="N1053" s="153"/>
      <c r="O1053" s="153"/>
      <c r="P1053" s="153"/>
      <c r="Q1053" s="153"/>
      <c r="R1053" s="153"/>
      <c r="S1053" s="153"/>
      <c r="T1053" s="153"/>
    </row>
    <row r="1054">
      <c r="A1054" s="152"/>
      <c r="B1054" s="153"/>
      <c r="C1054" s="152"/>
      <c r="D1054" s="152"/>
      <c r="E1054" s="154">
        <v>5616.0</v>
      </c>
      <c r="F1054" s="152"/>
      <c r="G1054" s="155"/>
      <c r="H1054" s="153" t="s">
        <v>3292</v>
      </c>
      <c r="I1054" s="153" t="s">
        <v>156</v>
      </c>
      <c r="J1054" s="156">
        <v>1048.0</v>
      </c>
      <c r="K1054" s="157" t="s">
        <v>3293</v>
      </c>
      <c r="L1054" s="153" t="s">
        <v>3294</v>
      </c>
      <c r="M1054" s="153"/>
      <c r="N1054" s="153"/>
      <c r="O1054" s="153"/>
      <c r="P1054" s="153"/>
      <c r="Q1054" s="153"/>
      <c r="R1054" s="153"/>
      <c r="S1054" s="153"/>
      <c r="T1054" s="153"/>
    </row>
    <row r="1055">
      <c r="A1055" s="152"/>
      <c r="B1055" s="153"/>
      <c r="C1055" s="152"/>
      <c r="D1055" s="152"/>
      <c r="E1055" s="154">
        <v>5621.0</v>
      </c>
      <c r="F1055" s="152"/>
      <c r="G1055" s="155"/>
      <c r="H1055" s="153" t="s">
        <v>3295</v>
      </c>
      <c r="I1055" s="153" t="s">
        <v>3296</v>
      </c>
      <c r="J1055" s="156">
        <v>1049.0</v>
      </c>
      <c r="K1055" s="157" t="s">
        <v>3297</v>
      </c>
      <c r="L1055" s="153" t="s">
        <v>3298</v>
      </c>
      <c r="M1055" s="153"/>
      <c r="N1055" s="153"/>
      <c r="O1055" s="153"/>
      <c r="P1055" s="153"/>
      <c r="Q1055" s="153"/>
      <c r="R1055" s="153"/>
      <c r="S1055" s="153"/>
      <c r="T1055" s="153"/>
    </row>
    <row r="1056">
      <c r="A1056" s="152"/>
      <c r="B1056" s="153"/>
      <c r="C1056" s="152"/>
      <c r="D1056" s="152"/>
      <c r="E1056" s="154">
        <v>5622.0</v>
      </c>
      <c r="F1056" s="152"/>
      <c r="G1056" s="155"/>
      <c r="H1056" s="153" t="s">
        <v>3299</v>
      </c>
      <c r="I1056" s="153" t="s">
        <v>3300</v>
      </c>
      <c r="J1056" s="156">
        <v>1050.0</v>
      </c>
      <c r="K1056" s="157" t="s">
        <v>3301</v>
      </c>
      <c r="L1056" s="153" t="s">
        <v>3302</v>
      </c>
      <c r="M1056" s="153"/>
      <c r="N1056" s="153"/>
      <c r="O1056" s="153"/>
      <c r="P1056" s="153"/>
      <c r="Q1056" s="153"/>
      <c r="R1056" s="153"/>
      <c r="S1056" s="153"/>
      <c r="T1056" s="153"/>
    </row>
    <row r="1057">
      <c r="A1057" s="152"/>
      <c r="B1057" s="153"/>
      <c r="C1057" s="152"/>
      <c r="D1057" s="152"/>
      <c r="E1057" s="154">
        <v>5623.0</v>
      </c>
      <c r="F1057" s="152"/>
      <c r="G1057" s="155"/>
      <c r="H1057" s="153" t="s">
        <v>3303</v>
      </c>
      <c r="I1057" s="153" t="s">
        <v>3304</v>
      </c>
      <c r="J1057" s="156">
        <v>1051.0</v>
      </c>
      <c r="K1057" s="157" t="s">
        <v>3305</v>
      </c>
      <c r="L1057" s="153" t="s">
        <v>3306</v>
      </c>
      <c r="M1057" s="153"/>
      <c r="N1057" s="153"/>
      <c r="O1057" s="153"/>
      <c r="P1057" s="153"/>
      <c r="Q1057" s="153"/>
      <c r="R1057" s="153"/>
      <c r="S1057" s="153"/>
      <c r="T1057" s="153"/>
    </row>
    <row r="1058">
      <c r="A1058" s="152"/>
      <c r="B1058" s="153"/>
      <c r="C1058" s="152"/>
      <c r="D1058" s="152"/>
      <c r="E1058" s="154">
        <v>5624.0</v>
      </c>
      <c r="F1058" s="152"/>
      <c r="G1058" s="155"/>
      <c r="H1058" s="153" t="s">
        <v>3307</v>
      </c>
      <c r="I1058" s="153" t="s">
        <v>3308</v>
      </c>
      <c r="J1058" s="156">
        <v>1052.0</v>
      </c>
      <c r="K1058" s="157" t="s">
        <v>3309</v>
      </c>
      <c r="L1058" s="153" t="s">
        <v>3310</v>
      </c>
      <c r="M1058" s="153"/>
      <c r="N1058" s="153"/>
      <c r="O1058" s="153"/>
      <c r="P1058" s="153"/>
      <c r="Q1058" s="153"/>
      <c r="R1058" s="153"/>
      <c r="S1058" s="153"/>
      <c r="T1058" s="153"/>
    </row>
    <row r="1059">
      <c r="A1059" s="152"/>
      <c r="B1059" s="153"/>
      <c r="C1059" s="152"/>
      <c r="D1059" s="152"/>
      <c r="E1059" s="154">
        <v>5625.0</v>
      </c>
      <c r="F1059" s="152"/>
      <c r="G1059" s="155"/>
      <c r="H1059" s="153" t="s">
        <v>3311</v>
      </c>
      <c r="I1059" s="153" t="s">
        <v>1709</v>
      </c>
      <c r="J1059" s="156">
        <v>1053.0</v>
      </c>
      <c r="K1059" s="157" t="s">
        <v>3312</v>
      </c>
      <c r="L1059" s="153" t="s">
        <v>3313</v>
      </c>
      <c r="M1059" s="153"/>
      <c r="N1059" s="153"/>
      <c r="O1059" s="153"/>
      <c r="P1059" s="153"/>
      <c r="Q1059" s="153"/>
      <c r="R1059" s="153"/>
      <c r="S1059" s="153"/>
      <c r="T1059" s="153"/>
    </row>
    <row r="1060">
      <c r="A1060" s="152"/>
      <c r="B1060" s="153"/>
      <c r="C1060" s="152"/>
      <c r="D1060" s="152"/>
      <c r="E1060" s="154">
        <v>5626.0</v>
      </c>
      <c r="F1060" s="152"/>
      <c r="G1060" s="155"/>
      <c r="H1060" s="153" t="s">
        <v>3314</v>
      </c>
      <c r="I1060" s="153" t="s">
        <v>1709</v>
      </c>
      <c r="J1060" s="156">
        <v>1054.0</v>
      </c>
      <c r="K1060" s="157" t="s">
        <v>3315</v>
      </c>
      <c r="L1060" s="153" t="s">
        <v>3316</v>
      </c>
      <c r="M1060" s="153"/>
      <c r="N1060" s="153"/>
      <c r="O1060" s="153"/>
      <c r="P1060" s="153"/>
      <c r="Q1060" s="153"/>
      <c r="R1060" s="153"/>
      <c r="S1060" s="153"/>
      <c r="T1060" s="153"/>
    </row>
    <row r="1061">
      <c r="A1061" s="152"/>
      <c r="B1061" s="153"/>
      <c r="C1061" s="152"/>
      <c r="D1061" s="152"/>
      <c r="E1061" s="154">
        <v>5631.0</v>
      </c>
      <c r="F1061" s="152"/>
      <c r="G1061" s="155"/>
      <c r="H1061" s="153" t="s">
        <v>3317</v>
      </c>
      <c r="I1061" s="153" t="s">
        <v>230</v>
      </c>
      <c r="J1061" s="156">
        <v>1055.0</v>
      </c>
      <c r="K1061" s="157" t="s">
        <v>3318</v>
      </c>
      <c r="L1061" s="153" t="s">
        <v>3238</v>
      </c>
      <c r="M1061" s="153"/>
      <c r="N1061" s="153"/>
      <c r="O1061" s="153"/>
      <c r="P1061" s="153"/>
      <c r="Q1061" s="153"/>
      <c r="R1061" s="153"/>
      <c r="S1061" s="153"/>
      <c r="T1061" s="153"/>
    </row>
    <row r="1062">
      <c r="A1062" s="152"/>
      <c r="B1062" s="153"/>
      <c r="C1062" s="152"/>
      <c r="D1062" s="152"/>
      <c r="E1062" s="154">
        <v>5632.0</v>
      </c>
      <c r="F1062" s="152"/>
      <c r="G1062" s="155"/>
      <c r="H1062" s="153" t="s">
        <v>3319</v>
      </c>
      <c r="I1062" s="153" t="s">
        <v>3320</v>
      </c>
      <c r="J1062" s="156">
        <v>1056.0</v>
      </c>
      <c r="K1062" s="157" t="s">
        <v>3321</v>
      </c>
      <c r="L1062" s="153" t="s">
        <v>3322</v>
      </c>
      <c r="M1062" s="153"/>
      <c r="N1062" s="153"/>
      <c r="O1062" s="153"/>
      <c r="P1062" s="153"/>
      <c r="Q1062" s="153"/>
      <c r="R1062" s="153"/>
      <c r="S1062" s="153"/>
      <c r="T1062" s="153"/>
    </row>
    <row r="1063">
      <c r="A1063" s="152"/>
      <c r="B1063" s="153"/>
      <c r="C1063" s="152"/>
      <c r="D1063" s="152"/>
      <c r="E1063" s="154">
        <v>5633.0</v>
      </c>
      <c r="F1063" s="152"/>
      <c r="G1063" s="155"/>
      <c r="H1063" s="153" t="s">
        <v>3323</v>
      </c>
      <c r="I1063" s="153" t="s">
        <v>519</v>
      </c>
      <c r="J1063" s="156">
        <v>1057.0</v>
      </c>
      <c r="K1063" s="157" t="s">
        <v>3312</v>
      </c>
      <c r="L1063" s="153" t="s">
        <v>3324</v>
      </c>
      <c r="M1063" s="153"/>
      <c r="N1063" s="153"/>
      <c r="O1063" s="153"/>
      <c r="P1063" s="153"/>
      <c r="Q1063" s="153"/>
      <c r="R1063" s="153"/>
      <c r="S1063" s="153"/>
      <c r="T1063" s="153"/>
    </row>
    <row r="1064">
      <c r="A1064" s="152"/>
      <c r="B1064" s="153"/>
      <c r="C1064" s="152"/>
      <c r="D1064" s="152"/>
      <c r="E1064" s="154">
        <v>5634.0</v>
      </c>
      <c r="F1064" s="152"/>
      <c r="G1064" s="155"/>
      <c r="H1064" s="153" t="s">
        <v>3325</v>
      </c>
      <c r="I1064" s="153" t="s">
        <v>167</v>
      </c>
      <c r="J1064" s="156">
        <v>1058.0</v>
      </c>
      <c r="K1064" s="157" t="s">
        <v>3326</v>
      </c>
      <c r="L1064" s="153" t="s">
        <v>3327</v>
      </c>
      <c r="M1064" s="153"/>
      <c r="N1064" s="153"/>
      <c r="O1064" s="153"/>
      <c r="P1064" s="153"/>
      <c r="Q1064" s="153"/>
      <c r="R1064" s="153"/>
      <c r="S1064" s="153"/>
      <c r="T1064" s="153"/>
    </row>
    <row r="1065">
      <c r="A1065" s="152"/>
      <c r="B1065" s="153"/>
      <c r="C1065" s="152"/>
      <c r="D1065" s="152"/>
      <c r="E1065" s="154">
        <v>5635.0</v>
      </c>
      <c r="F1065" s="152"/>
      <c r="G1065" s="155"/>
      <c r="H1065" s="153" t="s">
        <v>3328</v>
      </c>
      <c r="I1065" s="153" t="s">
        <v>167</v>
      </c>
      <c r="J1065" s="156">
        <v>1059.0</v>
      </c>
      <c r="K1065" s="157" t="s">
        <v>3329</v>
      </c>
      <c r="L1065" s="153" t="s">
        <v>3330</v>
      </c>
      <c r="M1065" s="153"/>
      <c r="N1065" s="153"/>
      <c r="O1065" s="153"/>
      <c r="P1065" s="153"/>
      <c r="Q1065" s="153"/>
      <c r="R1065" s="153"/>
      <c r="S1065" s="153"/>
      <c r="T1065" s="153"/>
    </row>
    <row r="1066">
      <c r="A1066" s="152"/>
      <c r="B1066" s="153"/>
      <c r="C1066" s="152"/>
      <c r="D1066" s="152"/>
      <c r="E1066" s="154">
        <v>5636.0</v>
      </c>
      <c r="F1066" s="152"/>
      <c r="G1066" s="155"/>
      <c r="H1066" s="153" t="s">
        <v>3331</v>
      </c>
      <c r="I1066" s="153" t="s">
        <v>167</v>
      </c>
      <c r="J1066" s="156">
        <v>1060.0</v>
      </c>
      <c r="K1066" s="157" t="s">
        <v>3332</v>
      </c>
      <c r="L1066" s="153" t="s">
        <v>3333</v>
      </c>
      <c r="M1066" s="153"/>
      <c r="N1066" s="153"/>
      <c r="O1066" s="153"/>
      <c r="P1066" s="153"/>
      <c r="Q1066" s="153"/>
      <c r="R1066" s="153"/>
      <c r="S1066" s="153"/>
      <c r="T1066" s="153"/>
    </row>
    <row r="1067">
      <c r="A1067" s="152"/>
      <c r="B1067" s="153"/>
      <c r="C1067" s="152"/>
      <c r="D1067" s="152"/>
      <c r="E1067" s="154">
        <v>5641.0</v>
      </c>
      <c r="F1067" s="152"/>
      <c r="G1067" s="155"/>
      <c r="H1067" s="153" t="s">
        <v>3334</v>
      </c>
      <c r="I1067" s="153" t="s">
        <v>1731</v>
      </c>
      <c r="J1067" s="156">
        <v>1061.0</v>
      </c>
      <c r="K1067" s="157" t="s">
        <v>3335</v>
      </c>
      <c r="L1067" s="158" t="s">
        <v>3336</v>
      </c>
      <c r="M1067" s="158"/>
      <c r="N1067" s="158"/>
      <c r="O1067" s="158"/>
      <c r="P1067" s="158"/>
      <c r="Q1067" s="158"/>
      <c r="R1067" s="158"/>
      <c r="S1067" s="158"/>
      <c r="T1067" s="158"/>
    </row>
    <row r="1068">
      <c r="A1068" s="152"/>
      <c r="B1068" s="153"/>
      <c r="C1068" s="152"/>
      <c r="D1068" s="152"/>
      <c r="E1068" s="154">
        <v>5642.0</v>
      </c>
      <c r="F1068" s="152"/>
      <c r="G1068" s="155"/>
      <c r="H1068" s="153" t="s">
        <v>3337</v>
      </c>
      <c r="I1068" s="153" t="s">
        <v>1731</v>
      </c>
      <c r="J1068" s="156">
        <v>1062.0</v>
      </c>
      <c r="K1068" s="157" t="s">
        <v>3338</v>
      </c>
      <c r="L1068" s="153" t="s">
        <v>3339</v>
      </c>
      <c r="M1068" s="153"/>
      <c r="N1068" s="153"/>
      <c r="O1068" s="153"/>
      <c r="P1068" s="153"/>
      <c r="Q1068" s="153"/>
      <c r="R1068" s="153"/>
      <c r="S1068" s="153"/>
      <c r="T1068" s="153"/>
    </row>
    <row r="1069">
      <c r="A1069" s="152"/>
      <c r="B1069" s="153"/>
      <c r="C1069" s="152"/>
      <c r="D1069" s="152"/>
      <c r="E1069" s="154">
        <v>5643.0</v>
      </c>
      <c r="F1069" s="152"/>
      <c r="G1069" s="155"/>
      <c r="H1069" s="153" t="s">
        <v>3340</v>
      </c>
      <c r="I1069" s="153" t="s">
        <v>519</v>
      </c>
      <c r="J1069" s="156">
        <v>1063.0</v>
      </c>
      <c r="K1069" s="157" t="s">
        <v>3341</v>
      </c>
      <c r="L1069" s="153" t="s">
        <v>3342</v>
      </c>
      <c r="M1069" s="153"/>
      <c r="N1069" s="153"/>
      <c r="O1069" s="153"/>
      <c r="P1069" s="153"/>
      <c r="Q1069" s="153"/>
      <c r="R1069" s="153"/>
      <c r="S1069" s="153"/>
      <c r="T1069" s="153"/>
    </row>
    <row r="1070">
      <c r="A1070" s="152"/>
      <c r="B1070" s="153"/>
      <c r="C1070" s="152"/>
      <c r="D1070" s="152"/>
      <c r="E1070" s="154">
        <v>5644.0</v>
      </c>
      <c r="F1070" s="152"/>
      <c r="G1070" s="155"/>
      <c r="H1070" s="153" t="s">
        <v>3343</v>
      </c>
      <c r="I1070" s="153" t="s">
        <v>3344</v>
      </c>
      <c r="J1070" s="156">
        <v>1064.0</v>
      </c>
      <c r="K1070" s="157" t="s">
        <v>3345</v>
      </c>
      <c r="L1070" s="153" t="s">
        <v>3346</v>
      </c>
      <c r="M1070" s="153"/>
      <c r="N1070" s="153"/>
      <c r="O1070" s="153"/>
      <c r="P1070" s="153"/>
      <c r="Q1070" s="153"/>
      <c r="R1070" s="153"/>
      <c r="S1070" s="153"/>
      <c r="T1070" s="153"/>
    </row>
    <row r="1071">
      <c r="A1071" s="152"/>
      <c r="B1071" s="153"/>
      <c r="C1071" s="152"/>
      <c r="D1071" s="152"/>
      <c r="E1071" s="154">
        <v>5645.0</v>
      </c>
      <c r="F1071" s="152"/>
      <c r="G1071" s="155"/>
      <c r="H1071" s="153" t="s">
        <v>3347</v>
      </c>
      <c r="I1071" s="153" t="s">
        <v>246</v>
      </c>
      <c r="J1071" s="156">
        <v>1065.0</v>
      </c>
      <c r="K1071" s="157" t="s">
        <v>3348</v>
      </c>
      <c r="L1071" s="153" t="s">
        <v>3349</v>
      </c>
      <c r="M1071" s="153"/>
      <c r="N1071" s="153"/>
      <c r="O1071" s="153"/>
      <c r="P1071" s="153"/>
      <c r="Q1071" s="153"/>
      <c r="R1071" s="153"/>
      <c r="S1071" s="153"/>
      <c r="T1071" s="153"/>
    </row>
    <row r="1072">
      <c r="A1072" s="152"/>
      <c r="B1072" s="153"/>
      <c r="C1072" s="152"/>
      <c r="D1072" s="152"/>
      <c r="E1072" s="154">
        <v>5646.0</v>
      </c>
      <c r="F1072" s="152"/>
      <c r="G1072" s="155"/>
      <c r="H1072" s="153" t="s">
        <v>3350</v>
      </c>
      <c r="I1072" s="153" t="s">
        <v>2168</v>
      </c>
      <c r="J1072" s="156">
        <v>1066.0</v>
      </c>
      <c r="K1072" s="157" t="s">
        <v>3351</v>
      </c>
      <c r="L1072" s="158" t="s">
        <v>3352</v>
      </c>
      <c r="M1072" s="158"/>
      <c r="N1072" s="158"/>
      <c r="O1072" s="158"/>
      <c r="P1072" s="158"/>
      <c r="Q1072" s="158"/>
      <c r="R1072" s="158"/>
      <c r="S1072" s="158"/>
      <c r="T1072" s="158"/>
    </row>
    <row r="1073">
      <c r="A1073" s="152"/>
      <c r="B1073" s="153"/>
      <c r="C1073" s="152"/>
      <c r="D1073" s="152"/>
      <c r="E1073" s="154">
        <v>5651.0</v>
      </c>
      <c r="F1073" s="152"/>
      <c r="G1073" s="155"/>
      <c r="H1073" s="153" t="s">
        <v>3353</v>
      </c>
      <c r="I1073" s="153" t="s">
        <v>230</v>
      </c>
      <c r="J1073" s="156">
        <v>1067.0</v>
      </c>
      <c r="K1073" s="157" t="s">
        <v>3354</v>
      </c>
      <c r="L1073" s="153" t="s">
        <v>3355</v>
      </c>
      <c r="M1073" s="153"/>
      <c r="N1073" s="153"/>
      <c r="O1073" s="153"/>
      <c r="P1073" s="153"/>
      <c r="Q1073" s="153"/>
      <c r="R1073" s="153"/>
      <c r="S1073" s="153"/>
      <c r="T1073" s="153"/>
    </row>
    <row r="1074">
      <c r="A1074" s="152"/>
      <c r="B1074" s="153"/>
      <c r="C1074" s="152"/>
      <c r="D1074" s="152"/>
      <c r="E1074" s="154">
        <v>5652.0</v>
      </c>
      <c r="F1074" s="152"/>
      <c r="G1074" s="155"/>
      <c r="H1074" s="153" t="s">
        <v>3356</v>
      </c>
      <c r="I1074" s="153" t="s">
        <v>230</v>
      </c>
      <c r="J1074" s="156">
        <v>1068.0</v>
      </c>
      <c r="K1074" s="157" t="s">
        <v>3357</v>
      </c>
      <c r="L1074" s="158" t="s">
        <v>3358</v>
      </c>
      <c r="M1074" s="158"/>
      <c r="N1074" s="158"/>
      <c r="O1074" s="158"/>
      <c r="P1074" s="158"/>
      <c r="Q1074" s="158"/>
      <c r="R1074" s="158"/>
      <c r="S1074" s="158"/>
      <c r="T1074" s="158"/>
    </row>
    <row r="1075">
      <c r="A1075" s="152"/>
      <c r="B1075" s="153"/>
      <c r="C1075" s="152"/>
      <c r="D1075" s="152"/>
      <c r="E1075" s="154">
        <v>5653.0</v>
      </c>
      <c r="F1075" s="152"/>
      <c r="G1075" s="155"/>
      <c r="H1075" s="153" t="s">
        <v>3359</v>
      </c>
      <c r="I1075" s="153" t="s">
        <v>246</v>
      </c>
      <c r="J1075" s="156">
        <v>1069.0</v>
      </c>
      <c r="K1075" s="157" t="s">
        <v>3360</v>
      </c>
      <c r="L1075" s="153" t="s">
        <v>3361</v>
      </c>
      <c r="M1075" s="153"/>
      <c r="N1075" s="153"/>
      <c r="O1075" s="153"/>
      <c r="P1075" s="153"/>
      <c r="Q1075" s="153"/>
      <c r="R1075" s="153"/>
      <c r="S1075" s="153"/>
      <c r="T1075" s="153"/>
    </row>
    <row r="1076">
      <c r="A1076" s="152"/>
      <c r="B1076" s="153"/>
      <c r="C1076" s="152"/>
      <c r="D1076" s="152"/>
      <c r="E1076" s="154">
        <v>5654.0</v>
      </c>
      <c r="F1076" s="152"/>
      <c r="G1076" s="155"/>
      <c r="H1076" s="153" t="s">
        <v>3362</v>
      </c>
      <c r="I1076" s="153" t="s">
        <v>2130</v>
      </c>
      <c r="J1076" s="156">
        <v>1070.0</v>
      </c>
      <c r="K1076" s="157" t="s">
        <v>3363</v>
      </c>
      <c r="L1076" s="158" t="s">
        <v>3364</v>
      </c>
      <c r="M1076" s="158"/>
      <c r="N1076" s="158"/>
      <c r="O1076" s="158"/>
      <c r="P1076" s="158"/>
      <c r="Q1076" s="158"/>
      <c r="R1076" s="158"/>
      <c r="S1076" s="158"/>
      <c r="T1076" s="158"/>
    </row>
    <row r="1077">
      <c r="A1077" s="152"/>
      <c r="B1077" s="153"/>
      <c r="C1077" s="152"/>
      <c r="D1077" s="152"/>
      <c r="E1077" s="154">
        <v>5655.0</v>
      </c>
      <c r="F1077" s="152"/>
      <c r="G1077" s="155"/>
      <c r="H1077" s="153" t="s">
        <v>3365</v>
      </c>
      <c r="I1077" s="153" t="s">
        <v>207</v>
      </c>
      <c r="J1077" s="156">
        <v>1071.0</v>
      </c>
      <c r="K1077" s="157" t="s">
        <v>3366</v>
      </c>
      <c r="L1077" s="153" t="s">
        <v>3367</v>
      </c>
      <c r="M1077" s="153"/>
      <c r="N1077" s="153"/>
      <c r="O1077" s="153"/>
      <c r="P1077" s="153"/>
      <c r="Q1077" s="153"/>
      <c r="R1077" s="153"/>
      <c r="S1077" s="153"/>
      <c r="T1077" s="153"/>
    </row>
    <row r="1078">
      <c r="A1078" s="152"/>
      <c r="B1078" s="153"/>
      <c r="C1078" s="152"/>
      <c r="D1078" s="152"/>
      <c r="E1078" s="154">
        <v>5656.0</v>
      </c>
      <c r="F1078" s="152"/>
      <c r="G1078" s="155"/>
      <c r="H1078" s="153" t="s">
        <v>3368</v>
      </c>
      <c r="I1078" s="153" t="s">
        <v>1435</v>
      </c>
      <c r="J1078" s="156">
        <v>1072.0</v>
      </c>
      <c r="K1078" s="157" t="s">
        <v>3369</v>
      </c>
      <c r="L1078" s="153" t="s">
        <v>3370</v>
      </c>
      <c r="M1078" s="153"/>
      <c r="N1078" s="153"/>
      <c r="O1078" s="153"/>
      <c r="P1078" s="153"/>
      <c r="Q1078" s="153"/>
      <c r="R1078" s="153"/>
      <c r="S1078" s="153"/>
      <c r="T1078" s="153"/>
    </row>
    <row r="1079">
      <c r="A1079" s="152"/>
      <c r="B1079" s="153"/>
      <c r="C1079" s="152"/>
      <c r="D1079" s="152"/>
      <c r="E1079" s="154">
        <v>5661.0</v>
      </c>
      <c r="F1079" s="152"/>
      <c r="G1079" s="155"/>
      <c r="H1079" s="153" t="s">
        <v>3371</v>
      </c>
      <c r="I1079" s="153" t="s">
        <v>1435</v>
      </c>
      <c r="J1079" s="156">
        <v>1073.0</v>
      </c>
      <c r="K1079" s="157" t="s">
        <v>3372</v>
      </c>
      <c r="L1079" s="153" t="s">
        <v>3373</v>
      </c>
      <c r="M1079" s="153"/>
      <c r="N1079" s="153"/>
      <c r="O1079" s="153"/>
      <c r="P1079" s="153"/>
      <c r="Q1079" s="153"/>
      <c r="R1079" s="153"/>
      <c r="S1079" s="153"/>
      <c r="T1079" s="153"/>
    </row>
    <row r="1080">
      <c r="A1080" s="152"/>
      <c r="B1080" s="153"/>
      <c r="C1080" s="152"/>
      <c r="D1080" s="152"/>
      <c r="E1080" s="154">
        <v>5662.0</v>
      </c>
      <c r="F1080" s="152"/>
      <c r="G1080" s="155"/>
      <c r="H1080" s="153" t="s">
        <v>3374</v>
      </c>
      <c r="I1080" s="153" t="s">
        <v>2710</v>
      </c>
      <c r="J1080" s="156">
        <v>1074.0</v>
      </c>
      <c r="K1080" s="157" t="s">
        <v>3375</v>
      </c>
      <c r="L1080" s="153" t="s">
        <v>3376</v>
      </c>
      <c r="M1080" s="153"/>
      <c r="N1080" s="153"/>
      <c r="O1080" s="153"/>
      <c r="P1080" s="153"/>
      <c r="Q1080" s="153"/>
      <c r="R1080" s="153"/>
      <c r="S1080" s="153"/>
      <c r="T1080" s="153"/>
    </row>
    <row r="1081">
      <c r="A1081" s="152"/>
      <c r="B1081" s="153"/>
      <c r="C1081" s="152"/>
      <c r="D1081" s="152"/>
      <c r="E1081" s="154">
        <v>5663.0</v>
      </c>
      <c r="F1081" s="152"/>
      <c r="G1081" s="155"/>
      <c r="H1081" s="153" t="s">
        <v>3377</v>
      </c>
      <c r="I1081" s="153" t="s">
        <v>156</v>
      </c>
      <c r="J1081" s="156">
        <v>1075.0</v>
      </c>
      <c r="K1081" s="157" t="s">
        <v>3378</v>
      </c>
      <c r="L1081" s="153" t="s">
        <v>3379</v>
      </c>
      <c r="M1081" s="153"/>
      <c r="N1081" s="153"/>
      <c r="O1081" s="153"/>
      <c r="P1081" s="153"/>
      <c r="Q1081" s="153"/>
      <c r="R1081" s="153"/>
      <c r="S1081" s="153"/>
      <c r="T1081" s="153"/>
    </row>
    <row r="1082">
      <c r="A1082" s="152"/>
      <c r="B1082" s="153"/>
      <c r="C1082" s="152"/>
      <c r="D1082" s="152"/>
      <c r="E1082" s="154">
        <v>5664.0</v>
      </c>
      <c r="F1082" s="152"/>
      <c r="G1082" s="155"/>
      <c r="H1082" s="153" t="s">
        <v>3380</v>
      </c>
      <c r="I1082" s="153" t="s">
        <v>3381</v>
      </c>
      <c r="J1082" s="156">
        <v>1076.0</v>
      </c>
      <c r="K1082" s="157" t="s">
        <v>3382</v>
      </c>
      <c r="L1082" s="153" t="s">
        <v>3383</v>
      </c>
      <c r="M1082" s="153"/>
      <c r="N1082" s="153"/>
      <c r="O1082" s="153"/>
      <c r="P1082" s="153"/>
      <c r="Q1082" s="153"/>
      <c r="R1082" s="153"/>
      <c r="S1082" s="153"/>
      <c r="T1082" s="153"/>
    </row>
    <row r="1083">
      <c r="A1083" s="152"/>
      <c r="B1083" s="153"/>
      <c r="C1083" s="152"/>
      <c r="D1083" s="152"/>
      <c r="E1083" s="154">
        <v>5665.0</v>
      </c>
      <c r="F1083" s="152"/>
      <c r="G1083" s="155"/>
      <c r="H1083" s="160" t="s">
        <v>3384</v>
      </c>
      <c r="I1083" s="160" t="s">
        <v>167</v>
      </c>
      <c r="J1083" s="166">
        <v>1229.0</v>
      </c>
      <c r="K1083" s="157"/>
      <c r="L1083" s="153"/>
      <c r="M1083" s="153"/>
      <c r="N1083" s="153"/>
      <c r="O1083" s="153"/>
      <c r="P1083" s="153"/>
      <c r="Q1083" s="153"/>
      <c r="R1083" s="153"/>
      <c r="S1083" s="153"/>
      <c r="T1083" s="153"/>
    </row>
    <row r="1084">
      <c r="A1084" s="152"/>
      <c r="B1084" s="153"/>
      <c r="C1084" s="152"/>
      <c r="D1084" s="152"/>
      <c r="E1084" s="154">
        <v>5666.0</v>
      </c>
      <c r="F1084" s="152"/>
      <c r="G1084" s="155"/>
      <c r="H1084" s="153" t="s">
        <v>3385</v>
      </c>
      <c r="I1084" s="153" t="s">
        <v>1604</v>
      </c>
      <c r="J1084" s="156">
        <v>1077.0</v>
      </c>
      <c r="K1084" s="157" t="s">
        <v>3386</v>
      </c>
      <c r="L1084" s="158" t="s">
        <v>3387</v>
      </c>
      <c r="M1084" s="158"/>
      <c r="N1084" s="158"/>
      <c r="O1084" s="158"/>
      <c r="P1084" s="158"/>
      <c r="Q1084" s="158"/>
      <c r="R1084" s="158"/>
      <c r="S1084" s="158"/>
      <c r="T1084" s="158"/>
    </row>
    <row r="1085">
      <c r="A1085" s="152"/>
      <c r="B1085" s="153"/>
      <c r="C1085" s="152"/>
      <c r="D1085" s="152"/>
      <c r="E1085" s="154">
        <v>6111.0</v>
      </c>
      <c r="F1085" s="152"/>
      <c r="G1085" s="155"/>
      <c r="H1085" s="153" t="s">
        <v>3388</v>
      </c>
      <c r="I1085" s="153" t="s">
        <v>246</v>
      </c>
      <c r="J1085" s="156">
        <v>1078.0</v>
      </c>
      <c r="K1085" s="157" t="s">
        <v>3389</v>
      </c>
      <c r="L1085" s="153" t="s">
        <v>3390</v>
      </c>
      <c r="M1085" s="153"/>
      <c r="N1085" s="153"/>
      <c r="O1085" s="153"/>
      <c r="P1085" s="153"/>
      <c r="Q1085" s="153"/>
      <c r="R1085" s="153"/>
      <c r="S1085" s="153"/>
      <c r="T1085" s="153"/>
    </row>
    <row r="1086">
      <c r="A1086" s="152"/>
      <c r="B1086" s="153"/>
      <c r="C1086" s="152"/>
      <c r="D1086" s="152"/>
      <c r="E1086" s="154">
        <v>6112.0</v>
      </c>
      <c r="F1086" s="152"/>
      <c r="G1086" s="155"/>
      <c r="H1086" s="153" t="s">
        <v>3391</v>
      </c>
      <c r="I1086" s="153" t="s">
        <v>3300</v>
      </c>
      <c r="J1086" s="156">
        <v>1079.0</v>
      </c>
      <c r="K1086" s="157" t="s">
        <v>3392</v>
      </c>
      <c r="L1086" s="153" t="s">
        <v>3393</v>
      </c>
      <c r="M1086" s="153"/>
      <c r="N1086" s="153"/>
      <c r="O1086" s="153"/>
      <c r="P1086" s="153"/>
      <c r="Q1086" s="153"/>
      <c r="R1086" s="153"/>
      <c r="S1086" s="153"/>
      <c r="T1086" s="153"/>
    </row>
    <row r="1087">
      <c r="A1087" s="152"/>
      <c r="B1087" s="153"/>
      <c r="C1087" s="152"/>
      <c r="D1087" s="152"/>
      <c r="E1087" s="154">
        <v>6113.0</v>
      </c>
      <c r="F1087" s="152"/>
      <c r="G1087" s="155"/>
      <c r="H1087" s="153" t="s">
        <v>3394</v>
      </c>
      <c r="I1087" s="153" t="s">
        <v>246</v>
      </c>
      <c r="J1087" s="156">
        <v>1080.0</v>
      </c>
      <c r="K1087" s="157" t="s">
        <v>3395</v>
      </c>
      <c r="L1087" s="153" t="s">
        <v>3390</v>
      </c>
      <c r="M1087" s="153"/>
      <c r="N1087" s="153"/>
      <c r="O1087" s="153"/>
      <c r="P1087" s="153"/>
      <c r="Q1087" s="153"/>
      <c r="R1087" s="153"/>
      <c r="S1087" s="153"/>
      <c r="T1087" s="153"/>
    </row>
    <row r="1088">
      <c r="A1088" s="152"/>
      <c r="B1088" s="153"/>
      <c r="C1088" s="152"/>
      <c r="D1088" s="152"/>
      <c r="E1088" s="154">
        <v>6114.0</v>
      </c>
      <c r="F1088" s="152"/>
      <c r="G1088" s="155"/>
      <c r="H1088" s="153" t="s">
        <v>3396</v>
      </c>
      <c r="I1088" s="153" t="s">
        <v>246</v>
      </c>
      <c r="J1088" s="156">
        <v>1081.0</v>
      </c>
      <c r="K1088" s="157" t="s">
        <v>3397</v>
      </c>
      <c r="L1088" s="153" t="s">
        <v>3398</v>
      </c>
      <c r="M1088" s="153"/>
      <c r="N1088" s="153"/>
      <c r="O1088" s="153"/>
      <c r="P1088" s="153"/>
      <c r="Q1088" s="153"/>
      <c r="R1088" s="153"/>
      <c r="S1088" s="153"/>
      <c r="T1088" s="153"/>
    </row>
    <row r="1089">
      <c r="A1089" s="152"/>
      <c r="B1089" s="153"/>
      <c r="C1089" s="152"/>
      <c r="D1089" s="152"/>
      <c r="E1089" s="154">
        <v>6115.0</v>
      </c>
      <c r="F1089" s="152"/>
      <c r="G1089" s="155"/>
      <c r="H1089" s="153" t="s">
        <v>3399</v>
      </c>
      <c r="I1089" s="153" t="s">
        <v>714</v>
      </c>
      <c r="J1089" s="156">
        <v>1082.0</v>
      </c>
      <c r="K1089" s="157" t="s">
        <v>3400</v>
      </c>
      <c r="L1089" s="153" t="s">
        <v>3401</v>
      </c>
      <c r="M1089" s="153"/>
      <c r="N1089" s="153"/>
      <c r="O1089" s="153"/>
      <c r="P1089" s="153"/>
      <c r="Q1089" s="153"/>
      <c r="R1089" s="153"/>
      <c r="S1089" s="153"/>
      <c r="T1089" s="153"/>
    </row>
    <row r="1090">
      <c r="A1090" s="152"/>
      <c r="B1090" s="153"/>
      <c r="C1090" s="152"/>
      <c r="D1090" s="152"/>
      <c r="E1090" s="154">
        <v>6116.0</v>
      </c>
      <c r="F1090" s="152"/>
      <c r="G1090" s="155"/>
      <c r="H1090" s="153" t="s">
        <v>3402</v>
      </c>
      <c r="I1090" s="153" t="s">
        <v>3300</v>
      </c>
      <c r="J1090" s="156">
        <v>1083.0</v>
      </c>
      <c r="K1090" s="157" t="s">
        <v>3403</v>
      </c>
      <c r="L1090" s="153" t="s">
        <v>3393</v>
      </c>
      <c r="M1090" s="153"/>
      <c r="N1090" s="153"/>
      <c r="O1090" s="153"/>
      <c r="P1090" s="153"/>
      <c r="Q1090" s="153"/>
      <c r="R1090" s="153"/>
      <c r="S1090" s="153"/>
      <c r="T1090" s="153"/>
    </row>
    <row r="1091">
      <c r="A1091" s="152"/>
      <c r="B1091" s="153"/>
      <c r="C1091" s="152"/>
      <c r="D1091" s="152"/>
      <c r="E1091" s="154">
        <v>6121.0</v>
      </c>
      <c r="F1091" s="152"/>
      <c r="G1091" s="155"/>
      <c r="H1091" s="153" t="s">
        <v>3404</v>
      </c>
      <c r="I1091" s="153" t="s">
        <v>1435</v>
      </c>
      <c r="J1091" s="156">
        <v>1084.0</v>
      </c>
      <c r="K1091" s="157" t="s">
        <v>3405</v>
      </c>
      <c r="L1091" s="158" t="s">
        <v>3406</v>
      </c>
      <c r="M1091" s="158"/>
      <c r="N1091" s="158"/>
      <c r="O1091" s="158"/>
      <c r="P1091" s="158"/>
      <c r="Q1091" s="158"/>
      <c r="R1091" s="158"/>
      <c r="S1091" s="158"/>
      <c r="T1091" s="158"/>
    </row>
    <row r="1092">
      <c r="A1092" s="152"/>
      <c r="B1092" s="153"/>
      <c r="C1092" s="152"/>
      <c r="D1092" s="152"/>
      <c r="E1092" s="154">
        <v>6122.0</v>
      </c>
      <c r="F1092" s="152"/>
      <c r="G1092" s="155"/>
      <c r="H1092" s="153" t="s">
        <v>3407</v>
      </c>
      <c r="I1092" s="153" t="s">
        <v>156</v>
      </c>
      <c r="J1092" s="156">
        <v>1085.0</v>
      </c>
      <c r="K1092" s="157" t="s">
        <v>3408</v>
      </c>
      <c r="L1092" s="153" t="s">
        <v>3409</v>
      </c>
      <c r="M1092" s="153"/>
      <c r="N1092" s="153"/>
      <c r="O1092" s="153"/>
      <c r="P1092" s="153"/>
      <c r="Q1092" s="153"/>
      <c r="R1092" s="153"/>
      <c r="S1092" s="153"/>
      <c r="T1092" s="153"/>
    </row>
    <row r="1093">
      <c r="A1093" s="152"/>
      <c r="B1093" s="153"/>
      <c r="C1093" s="152"/>
      <c r="D1093" s="152"/>
      <c r="E1093" s="154">
        <v>6123.0</v>
      </c>
      <c r="F1093" s="152"/>
      <c r="G1093" s="155"/>
      <c r="H1093" s="153" t="s">
        <v>3410</v>
      </c>
      <c r="I1093" s="153" t="s">
        <v>1435</v>
      </c>
      <c r="J1093" s="156">
        <v>1086.0</v>
      </c>
      <c r="K1093" s="157" t="s">
        <v>3411</v>
      </c>
      <c r="L1093" s="153" t="s">
        <v>3412</v>
      </c>
      <c r="M1093" s="153"/>
      <c r="N1093" s="153"/>
      <c r="O1093" s="153"/>
      <c r="P1093" s="153"/>
      <c r="Q1093" s="153"/>
      <c r="R1093" s="153"/>
      <c r="S1093" s="153"/>
      <c r="T1093" s="153"/>
    </row>
    <row r="1094">
      <c r="A1094" s="152"/>
      <c r="B1094" s="153"/>
      <c r="C1094" s="152"/>
      <c r="D1094" s="152"/>
      <c r="E1094" s="154">
        <v>6124.0</v>
      </c>
      <c r="F1094" s="152"/>
      <c r="G1094" s="155"/>
      <c r="H1094" s="153" t="s">
        <v>3413</v>
      </c>
      <c r="I1094" s="153" t="s">
        <v>2130</v>
      </c>
      <c r="J1094" s="156">
        <v>1087.0</v>
      </c>
      <c r="K1094" s="157" t="s">
        <v>3414</v>
      </c>
      <c r="L1094" s="153" t="s">
        <v>3415</v>
      </c>
      <c r="M1094" s="153"/>
      <c r="N1094" s="153"/>
      <c r="O1094" s="153"/>
      <c r="P1094" s="153"/>
      <c r="Q1094" s="153"/>
      <c r="R1094" s="153"/>
      <c r="S1094" s="153"/>
      <c r="T1094" s="153"/>
    </row>
    <row r="1095">
      <c r="A1095" s="152"/>
      <c r="B1095" s="153"/>
      <c r="C1095" s="152"/>
      <c r="D1095" s="152"/>
      <c r="E1095" s="154">
        <v>6125.0</v>
      </c>
      <c r="F1095" s="152"/>
      <c r="G1095" s="155"/>
      <c r="H1095" s="153" t="s">
        <v>3416</v>
      </c>
      <c r="I1095" s="153" t="s">
        <v>2130</v>
      </c>
      <c r="J1095" s="156">
        <v>1088.0</v>
      </c>
      <c r="K1095" s="157" t="s">
        <v>3417</v>
      </c>
      <c r="L1095" s="153" t="s">
        <v>3418</v>
      </c>
      <c r="M1095" s="153"/>
      <c r="N1095" s="153"/>
      <c r="O1095" s="153"/>
      <c r="P1095" s="153"/>
      <c r="Q1095" s="153"/>
      <c r="R1095" s="153"/>
      <c r="S1095" s="153"/>
      <c r="T1095" s="153"/>
    </row>
    <row r="1096">
      <c r="A1096" s="152"/>
      <c r="B1096" s="153"/>
      <c r="C1096" s="152"/>
      <c r="D1096" s="152"/>
      <c r="E1096" s="154">
        <v>6126.0</v>
      </c>
      <c r="F1096" s="152"/>
      <c r="G1096" s="155"/>
      <c r="H1096" s="153" t="s">
        <v>3419</v>
      </c>
      <c r="I1096" s="153" t="s">
        <v>2130</v>
      </c>
      <c r="J1096" s="156">
        <v>1089.0</v>
      </c>
      <c r="K1096" s="157" t="s">
        <v>3420</v>
      </c>
      <c r="L1096" s="153" t="s">
        <v>3421</v>
      </c>
      <c r="M1096" s="153"/>
      <c r="N1096" s="153"/>
      <c r="O1096" s="153"/>
      <c r="P1096" s="153"/>
      <c r="Q1096" s="153"/>
      <c r="R1096" s="153"/>
      <c r="S1096" s="153"/>
      <c r="T1096" s="153"/>
    </row>
    <row r="1097">
      <c r="A1097" s="152"/>
      <c r="B1097" s="153"/>
      <c r="C1097" s="152"/>
      <c r="D1097" s="152"/>
      <c r="E1097" s="154">
        <v>6131.0</v>
      </c>
      <c r="F1097" s="152"/>
      <c r="G1097" s="155"/>
      <c r="H1097" s="153" t="s">
        <v>3422</v>
      </c>
      <c r="I1097" s="153" t="s">
        <v>2130</v>
      </c>
      <c r="J1097" s="156">
        <v>1090.0</v>
      </c>
      <c r="K1097" s="157" t="s">
        <v>3423</v>
      </c>
      <c r="L1097" s="153" t="s">
        <v>3424</v>
      </c>
      <c r="M1097" s="153"/>
      <c r="N1097" s="153"/>
      <c r="O1097" s="153"/>
      <c r="P1097" s="153"/>
      <c r="Q1097" s="153"/>
      <c r="R1097" s="153"/>
      <c r="S1097" s="153"/>
      <c r="T1097" s="153"/>
    </row>
    <row r="1098">
      <c r="A1098" s="152"/>
      <c r="B1098" s="153"/>
      <c r="C1098" s="152"/>
      <c r="D1098" s="152"/>
      <c r="E1098" s="154">
        <v>6132.0</v>
      </c>
      <c r="F1098" s="152"/>
      <c r="G1098" s="155"/>
      <c r="H1098" s="153" t="s">
        <v>3425</v>
      </c>
      <c r="I1098" s="153" t="s">
        <v>2130</v>
      </c>
      <c r="J1098" s="156">
        <v>1091.0</v>
      </c>
      <c r="K1098" s="157" t="s">
        <v>3426</v>
      </c>
      <c r="L1098" s="153" t="s">
        <v>3427</v>
      </c>
      <c r="M1098" s="153"/>
      <c r="N1098" s="153"/>
      <c r="O1098" s="153"/>
      <c r="P1098" s="153"/>
      <c r="Q1098" s="153"/>
      <c r="R1098" s="153"/>
      <c r="S1098" s="153"/>
      <c r="T1098" s="153"/>
    </row>
    <row r="1099">
      <c r="A1099" s="152"/>
      <c r="B1099" s="153"/>
      <c r="C1099" s="152"/>
      <c r="D1099" s="152"/>
      <c r="E1099" s="154">
        <v>6133.0</v>
      </c>
      <c r="F1099" s="152"/>
      <c r="G1099" s="155"/>
      <c r="H1099" s="153" t="s">
        <v>3428</v>
      </c>
      <c r="I1099" s="153" t="s">
        <v>230</v>
      </c>
      <c r="J1099" s="156">
        <v>1092.0</v>
      </c>
      <c r="K1099" s="157" t="s">
        <v>3429</v>
      </c>
      <c r="L1099" s="153" t="s">
        <v>3430</v>
      </c>
      <c r="M1099" s="153"/>
      <c r="N1099" s="153"/>
      <c r="O1099" s="153"/>
      <c r="P1099" s="153"/>
      <c r="Q1099" s="153"/>
      <c r="R1099" s="153"/>
      <c r="S1099" s="153"/>
      <c r="T1099" s="153"/>
    </row>
    <row r="1100">
      <c r="A1100" s="152"/>
      <c r="B1100" s="153"/>
      <c r="C1100" s="152"/>
      <c r="D1100" s="152"/>
      <c r="E1100" s="154">
        <v>6134.0</v>
      </c>
      <c r="F1100" s="152"/>
      <c r="G1100" s="155"/>
      <c r="H1100" s="153" t="s">
        <v>3431</v>
      </c>
      <c r="I1100" s="153" t="s">
        <v>2130</v>
      </c>
      <c r="J1100" s="156">
        <v>1093.0</v>
      </c>
      <c r="K1100" s="157" t="s">
        <v>3432</v>
      </c>
      <c r="L1100" s="153" t="s">
        <v>3433</v>
      </c>
      <c r="M1100" s="153"/>
      <c r="N1100" s="153"/>
      <c r="O1100" s="153"/>
      <c r="P1100" s="153"/>
      <c r="Q1100" s="153"/>
      <c r="R1100" s="153"/>
      <c r="S1100" s="153"/>
      <c r="T1100" s="153"/>
    </row>
    <row r="1101">
      <c r="A1101" s="152"/>
      <c r="B1101" s="153"/>
      <c r="C1101" s="152"/>
      <c r="D1101" s="152"/>
      <c r="E1101" s="154">
        <v>6135.0</v>
      </c>
      <c r="F1101" s="152"/>
      <c r="G1101" s="155"/>
      <c r="H1101" s="153" t="s">
        <v>3434</v>
      </c>
      <c r="I1101" s="153" t="s">
        <v>2130</v>
      </c>
      <c r="J1101" s="156">
        <v>1094.0</v>
      </c>
      <c r="K1101" s="157" t="s">
        <v>3435</v>
      </c>
      <c r="L1101" s="153" t="s">
        <v>3433</v>
      </c>
      <c r="M1101" s="153"/>
      <c r="N1101" s="153"/>
      <c r="O1101" s="153"/>
      <c r="P1101" s="153"/>
      <c r="Q1101" s="153"/>
      <c r="R1101" s="153"/>
      <c r="S1101" s="153"/>
      <c r="T1101" s="153"/>
    </row>
    <row r="1102">
      <c r="A1102" s="152"/>
      <c r="B1102" s="153"/>
      <c r="C1102" s="152"/>
      <c r="D1102" s="152"/>
      <c r="E1102" s="154">
        <v>6136.0</v>
      </c>
      <c r="F1102" s="152"/>
      <c r="G1102" s="155"/>
      <c r="H1102" s="153" t="s">
        <v>3436</v>
      </c>
      <c r="I1102" s="153" t="s">
        <v>2130</v>
      </c>
      <c r="J1102" s="156">
        <v>1095.0</v>
      </c>
      <c r="K1102" s="157" t="s">
        <v>3437</v>
      </c>
      <c r="L1102" s="158" t="s">
        <v>3438</v>
      </c>
      <c r="M1102" s="158"/>
      <c r="N1102" s="158"/>
      <c r="O1102" s="158"/>
      <c r="P1102" s="158"/>
      <c r="Q1102" s="158"/>
      <c r="R1102" s="158"/>
      <c r="S1102" s="158"/>
      <c r="T1102" s="158"/>
    </row>
    <row r="1103">
      <c r="A1103" s="152"/>
      <c r="B1103" s="153"/>
      <c r="C1103" s="152"/>
      <c r="D1103" s="152"/>
      <c r="E1103" s="154">
        <v>6141.0</v>
      </c>
      <c r="F1103" s="152"/>
      <c r="G1103" s="155"/>
      <c r="H1103" s="153" t="s">
        <v>3439</v>
      </c>
      <c r="I1103" s="153" t="s">
        <v>2130</v>
      </c>
      <c r="J1103" s="156">
        <v>1096.0</v>
      </c>
      <c r="K1103" s="157" t="s">
        <v>3440</v>
      </c>
      <c r="L1103" s="158" t="s">
        <v>3441</v>
      </c>
      <c r="M1103" s="158"/>
      <c r="N1103" s="158"/>
      <c r="O1103" s="158"/>
      <c r="P1103" s="158"/>
      <c r="Q1103" s="158"/>
      <c r="R1103" s="158"/>
      <c r="S1103" s="158"/>
      <c r="T1103" s="158"/>
    </row>
    <row r="1104">
      <c r="A1104" s="152"/>
      <c r="B1104" s="153"/>
      <c r="C1104" s="152"/>
      <c r="D1104" s="152"/>
      <c r="E1104" s="154">
        <v>6142.0</v>
      </c>
      <c r="F1104" s="152"/>
      <c r="G1104" s="155"/>
      <c r="H1104" s="153" t="s">
        <v>3442</v>
      </c>
      <c r="I1104" s="153" t="s">
        <v>167</v>
      </c>
      <c r="J1104" s="156">
        <v>1097.0</v>
      </c>
      <c r="K1104" s="157" t="s">
        <v>3443</v>
      </c>
      <c r="L1104" s="153" t="s">
        <v>3444</v>
      </c>
      <c r="M1104" s="153"/>
      <c r="N1104" s="153"/>
      <c r="O1104" s="153"/>
      <c r="P1104" s="153"/>
      <c r="Q1104" s="153"/>
      <c r="R1104" s="153"/>
      <c r="S1104" s="153"/>
      <c r="T1104" s="153"/>
    </row>
    <row r="1105">
      <c r="A1105" s="152"/>
      <c r="B1105" s="153"/>
      <c r="C1105" s="152"/>
      <c r="D1105" s="152"/>
      <c r="E1105" s="154">
        <v>6143.0</v>
      </c>
      <c r="F1105" s="152"/>
      <c r="G1105" s="155"/>
      <c r="H1105" s="153" t="s">
        <v>3445</v>
      </c>
      <c r="I1105" s="153" t="s">
        <v>167</v>
      </c>
      <c r="J1105" s="156">
        <v>1098.0</v>
      </c>
      <c r="K1105" s="157" t="s">
        <v>3446</v>
      </c>
      <c r="L1105" s="153" t="s">
        <v>3447</v>
      </c>
      <c r="M1105" s="153"/>
      <c r="N1105" s="153"/>
      <c r="O1105" s="153"/>
      <c r="P1105" s="153"/>
      <c r="Q1105" s="153"/>
      <c r="R1105" s="153"/>
      <c r="S1105" s="153"/>
      <c r="T1105" s="153"/>
    </row>
    <row r="1106">
      <c r="A1106" s="152"/>
      <c r="B1106" s="153"/>
      <c r="C1106" s="152"/>
      <c r="D1106" s="152"/>
      <c r="E1106" s="154">
        <v>6144.0</v>
      </c>
      <c r="F1106" s="152"/>
      <c r="G1106" s="155"/>
      <c r="H1106" s="153" t="s">
        <v>3445</v>
      </c>
      <c r="I1106" s="153" t="s">
        <v>167</v>
      </c>
      <c r="J1106" s="156">
        <v>1099.0</v>
      </c>
      <c r="K1106" s="157" t="s">
        <v>3446</v>
      </c>
      <c r="L1106" s="153" t="s">
        <v>3447</v>
      </c>
      <c r="M1106" s="153"/>
      <c r="N1106" s="153"/>
      <c r="O1106" s="153"/>
      <c r="P1106" s="153"/>
      <c r="Q1106" s="153"/>
      <c r="R1106" s="153"/>
      <c r="S1106" s="153"/>
      <c r="T1106" s="153"/>
    </row>
    <row r="1107">
      <c r="A1107" s="152"/>
      <c r="B1107" s="153"/>
      <c r="C1107" s="152"/>
      <c r="D1107" s="152"/>
      <c r="E1107" s="154">
        <v>6145.0</v>
      </c>
      <c r="F1107" s="152"/>
      <c r="G1107" s="155"/>
      <c r="H1107" s="153" t="s">
        <v>3448</v>
      </c>
      <c r="I1107" s="153" t="s">
        <v>167</v>
      </c>
      <c r="J1107" s="156">
        <v>1100.0</v>
      </c>
      <c r="K1107" s="157" t="s">
        <v>3449</v>
      </c>
      <c r="L1107" s="153" t="s">
        <v>3450</v>
      </c>
      <c r="M1107" s="153"/>
      <c r="N1107" s="153"/>
      <c r="O1107" s="153"/>
      <c r="P1107" s="153"/>
      <c r="Q1107" s="153"/>
      <c r="R1107" s="153"/>
      <c r="S1107" s="153"/>
      <c r="T1107" s="153"/>
    </row>
    <row r="1108">
      <c r="A1108" s="152"/>
      <c r="B1108" s="153"/>
      <c r="C1108" s="152"/>
      <c r="D1108" s="152"/>
      <c r="E1108" s="154">
        <v>6146.0</v>
      </c>
      <c r="F1108" s="152"/>
      <c r="G1108" s="155"/>
      <c r="H1108" s="153" t="s">
        <v>3451</v>
      </c>
      <c r="I1108" s="153" t="s">
        <v>167</v>
      </c>
      <c r="J1108" s="156">
        <v>1101.0</v>
      </c>
      <c r="K1108" s="157" t="s">
        <v>3452</v>
      </c>
      <c r="L1108" s="153" t="s">
        <v>3453</v>
      </c>
      <c r="M1108" s="153"/>
      <c r="N1108" s="153"/>
      <c r="O1108" s="153"/>
      <c r="P1108" s="153"/>
      <c r="Q1108" s="153"/>
      <c r="R1108" s="153"/>
      <c r="S1108" s="153"/>
      <c r="T1108" s="153"/>
    </row>
    <row r="1109">
      <c r="A1109" s="152"/>
      <c r="B1109" s="153"/>
      <c r="C1109" s="152"/>
      <c r="D1109" s="152"/>
      <c r="E1109" s="154">
        <v>6151.0</v>
      </c>
      <c r="F1109" s="152"/>
      <c r="G1109" s="155"/>
      <c r="H1109" s="153" t="s">
        <v>3454</v>
      </c>
      <c r="I1109" s="153" t="s">
        <v>401</v>
      </c>
      <c r="J1109" s="156">
        <v>1102.0</v>
      </c>
      <c r="K1109" s="157" t="s">
        <v>3455</v>
      </c>
      <c r="L1109" s="153" t="s">
        <v>3456</v>
      </c>
      <c r="M1109" s="153"/>
      <c r="N1109" s="153"/>
      <c r="O1109" s="153"/>
      <c r="P1109" s="153"/>
      <c r="Q1109" s="153"/>
      <c r="R1109" s="153"/>
      <c r="S1109" s="153"/>
      <c r="T1109" s="153"/>
    </row>
    <row r="1110">
      <c r="A1110" s="152"/>
      <c r="B1110" s="153"/>
      <c r="C1110" s="152"/>
      <c r="D1110" s="152"/>
      <c r="E1110" s="154">
        <v>6152.0</v>
      </c>
      <c r="F1110" s="152"/>
      <c r="G1110" s="155"/>
      <c r="H1110" s="153" t="s">
        <v>3457</v>
      </c>
      <c r="I1110" s="153" t="s">
        <v>167</v>
      </c>
      <c r="J1110" s="156">
        <v>1103.0</v>
      </c>
      <c r="K1110" s="157" t="s">
        <v>3458</v>
      </c>
      <c r="L1110" s="153" t="s">
        <v>3459</v>
      </c>
      <c r="M1110" s="153"/>
      <c r="N1110" s="153"/>
      <c r="O1110" s="153"/>
      <c r="P1110" s="153"/>
      <c r="Q1110" s="153"/>
      <c r="R1110" s="153"/>
      <c r="S1110" s="153"/>
      <c r="T1110" s="153"/>
    </row>
    <row r="1111">
      <c r="A1111" s="152"/>
      <c r="B1111" s="153"/>
      <c r="C1111" s="152"/>
      <c r="D1111" s="152"/>
      <c r="E1111" s="154">
        <v>6153.0</v>
      </c>
      <c r="F1111" s="152"/>
      <c r="G1111" s="155"/>
      <c r="H1111" s="153" t="s">
        <v>3460</v>
      </c>
      <c r="I1111" s="153" t="s">
        <v>3300</v>
      </c>
      <c r="J1111" s="156">
        <v>1104.0</v>
      </c>
      <c r="K1111" s="157" t="s">
        <v>3461</v>
      </c>
      <c r="L1111" s="153" t="s">
        <v>3462</v>
      </c>
      <c r="M1111" s="153"/>
      <c r="N1111" s="153"/>
      <c r="O1111" s="153"/>
      <c r="P1111" s="153"/>
      <c r="Q1111" s="153"/>
      <c r="R1111" s="153"/>
      <c r="S1111" s="153"/>
      <c r="T1111" s="153"/>
    </row>
    <row r="1112">
      <c r="A1112" s="152"/>
      <c r="B1112" s="153"/>
      <c r="C1112" s="152"/>
      <c r="D1112" s="152"/>
      <c r="E1112" s="154">
        <v>6154.0</v>
      </c>
      <c r="F1112" s="152"/>
      <c r="G1112" s="155"/>
      <c r="H1112" s="153" t="s">
        <v>3463</v>
      </c>
      <c r="I1112" s="153" t="s">
        <v>3300</v>
      </c>
      <c r="J1112" s="156">
        <v>1105.0</v>
      </c>
      <c r="K1112" s="157" t="s">
        <v>3464</v>
      </c>
      <c r="L1112" s="153" t="s">
        <v>3465</v>
      </c>
      <c r="M1112" s="153"/>
      <c r="N1112" s="153"/>
      <c r="O1112" s="153"/>
      <c r="P1112" s="153"/>
      <c r="Q1112" s="153"/>
      <c r="R1112" s="153"/>
      <c r="S1112" s="153"/>
      <c r="T1112" s="153"/>
    </row>
    <row r="1113">
      <c r="A1113" s="152"/>
      <c r="B1113" s="153"/>
      <c r="C1113" s="152"/>
      <c r="D1113" s="152"/>
      <c r="E1113" s="154">
        <v>6155.0</v>
      </c>
      <c r="F1113" s="152"/>
      <c r="G1113" s="155"/>
      <c r="H1113" s="153" t="s">
        <v>3466</v>
      </c>
      <c r="I1113" s="153" t="s">
        <v>3300</v>
      </c>
      <c r="J1113" s="156">
        <v>1106.0</v>
      </c>
      <c r="K1113" s="157" t="s">
        <v>3467</v>
      </c>
      <c r="L1113" s="158" t="s">
        <v>3468</v>
      </c>
      <c r="M1113" s="158"/>
      <c r="N1113" s="158"/>
      <c r="O1113" s="158"/>
      <c r="P1113" s="158"/>
      <c r="Q1113" s="158"/>
      <c r="R1113" s="158"/>
      <c r="S1113" s="158"/>
      <c r="T1113" s="158"/>
    </row>
    <row r="1114">
      <c r="A1114" s="152"/>
      <c r="B1114" s="153"/>
      <c r="C1114" s="152"/>
      <c r="D1114" s="152"/>
      <c r="E1114" s="154">
        <v>6156.0</v>
      </c>
      <c r="F1114" s="152"/>
      <c r="G1114" s="155"/>
      <c r="H1114" s="153" t="s">
        <v>3469</v>
      </c>
      <c r="I1114" s="153" t="s">
        <v>2130</v>
      </c>
      <c r="J1114" s="156">
        <v>1107.0</v>
      </c>
      <c r="K1114" s="157" t="s">
        <v>3470</v>
      </c>
      <c r="L1114" s="158" t="s">
        <v>3471</v>
      </c>
      <c r="M1114" s="158"/>
      <c r="N1114" s="158"/>
      <c r="O1114" s="158"/>
      <c r="P1114" s="158"/>
      <c r="Q1114" s="158"/>
      <c r="R1114" s="158"/>
      <c r="S1114" s="158"/>
      <c r="T1114" s="158"/>
    </row>
    <row r="1115">
      <c r="A1115" s="152"/>
      <c r="B1115" s="153"/>
      <c r="C1115" s="152"/>
      <c r="D1115" s="152"/>
      <c r="E1115" s="154">
        <v>6161.0</v>
      </c>
      <c r="F1115" s="152"/>
      <c r="G1115" s="155"/>
      <c r="H1115" s="153" t="s">
        <v>3472</v>
      </c>
      <c r="I1115" s="153" t="s">
        <v>3473</v>
      </c>
      <c r="J1115" s="156">
        <v>1108.0</v>
      </c>
      <c r="K1115" s="157" t="s">
        <v>3474</v>
      </c>
      <c r="L1115" s="158" t="s">
        <v>3475</v>
      </c>
      <c r="M1115" s="158"/>
      <c r="N1115" s="158"/>
      <c r="O1115" s="158"/>
      <c r="P1115" s="158"/>
      <c r="Q1115" s="158"/>
      <c r="R1115" s="158"/>
      <c r="S1115" s="158"/>
      <c r="T1115" s="158"/>
    </row>
    <row r="1116">
      <c r="A1116" s="152"/>
      <c r="B1116" s="153"/>
      <c r="C1116" s="152"/>
      <c r="D1116" s="152"/>
      <c r="E1116" s="154">
        <v>6162.0</v>
      </c>
      <c r="F1116" s="152"/>
      <c r="G1116" s="155"/>
      <c r="H1116" s="153" t="s">
        <v>3476</v>
      </c>
      <c r="I1116" s="153" t="s">
        <v>3477</v>
      </c>
      <c r="J1116" s="156">
        <v>1109.0</v>
      </c>
      <c r="K1116" s="157" t="s">
        <v>3478</v>
      </c>
      <c r="L1116" s="158" t="s">
        <v>3479</v>
      </c>
      <c r="M1116" s="158"/>
      <c r="N1116" s="158"/>
      <c r="O1116" s="158"/>
      <c r="P1116" s="158"/>
      <c r="Q1116" s="158"/>
      <c r="R1116" s="158"/>
      <c r="S1116" s="158"/>
      <c r="T1116" s="158"/>
    </row>
    <row r="1117">
      <c r="A1117" s="152"/>
      <c r="B1117" s="153"/>
      <c r="C1117" s="152"/>
      <c r="D1117" s="152"/>
      <c r="E1117" s="154">
        <v>6163.0</v>
      </c>
      <c r="F1117" s="152"/>
      <c r="G1117" s="155"/>
      <c r="H1117" s="153" t="s">
        <v>3480</v>
      </c>
      <c r="I1117" s="153" t="s">
        <v>156</v>
      </c>
      <c r="J1117" s="156">
        <v>1110.0</v>
      </c>
      <c r="K1117" s="157" t="s">
        <v>3481</v>
      </c>
      <c r="L1117" s="153" t="s">
        <v>3482</v>
      </c>
      <c r="M1117" s="153"/>
      <c r="N1117" s="153"/>
      <c r="O1117" s="153"/>
      <c r="P1117" s="153"/>
      <c r="Q1117" s="153"/>
      <c r="R1117" s="153"/>
      <c r="S1117" s="153"/>
      <c r="T1117" s="153"/>
    </row>
    <row r="1118">
      <c r="A1118" s="152"/>
      <c r="B1118" s="153"/>
      <c r="C1118" s="152"/>
      <c r="D1118" s="152"/>
      <c r="E1118" s="154">
        <v>6164.0</v>
      </c>
      <c r="F1118" s="152"/>
      <c r="G1118" s="155"/>
      <c r="H1118" s="153" t="s">
        <v>3483</v>
      </c>
      <c r="I1118" s="153" t="s">
        <v>156</v>
      </c>
      <c r="J1118" s="156">
        <v>1111.0</v>
      </c>
      <c r="K1118" s="157" t="s">
        <v>3484</v>
      </c>
      <c r="L1118" s="153" t="s">
        <v>3485</v>
      </c>
      <c r="M1118" s="153"/>
      <c r="N1118" s="153"/>
      <c r="O1118" s="153"/>
      <c r="P1118" s="153"/>
      <c r="Q1118" s="153"/>
      <c r="R1118" s="153"/>
      <c r="S1118" s="153"/>
      <c r="T1118" s="153"/>
    </row>
    <row r="1119">
      <c r="A1119" s="152"/>
      <c r="B1119" s="153"/>
      <c r="C1119" s="152"/>
      <c r="D1119" s="152"/>
      <c r="E1119" s="154">
        <v>6165.0</v>
      </c>
      <c r="F1119" s="152"/>
      <c r="G1119" s="155"/>
      <c r="H1119" s="153" t="s">
        <v>3486</v>
      </c>
      <c r="I1119" s="153" t="s">
        <v>3487</v>
      </c>
      <c r="J1119" s="156">
        <v>1112.0</v>
      </c>
      <c r="K1119" s="157" t="s">
        <v>3488</v>
      </c>
      <c r="L1119" s="153" t="s">
        <v>3489</v>
      </c>
      <c r="M1119" s="153"/>
      <c r="N1119" s="153"/>
      <c r="O1119" s="153"/>
      <c r="P1119" s="153"/>
      <c r="Q1119" s="153"/>
      <c r="R1119" s="153"/>
      <c r="S1119" s="153"/>
      <c r="T1119" s="153"/>
    </row>
    <row r="1120">
      <c r="A1120" s="152"/>
      <c r="B1120" s="153"/>
      <c r="C1120" s="152"/>
      <c r="D1120" s="152"/>
      <c r="E1120" s="154">
        <v>6166.0</v>
      </c>
      <c r="F1120" s="152"/>
      <c r="G1120" s="155"/>
      <c r="H1120" s="153" t="s">
        <v>3490</v>
      </c>
      <c r="I1120" s="153" t="s">
        <v>1604</v>
      </c>
      <c r="J1120" s="156">
        <v>1113.0</v>
      </c>
      <c r="K1120" s="157" t="s">
        <v>3491</v>
      </c>
      <c r="L1120" s="153" t="s">
        <v>3492</v>
      </c>
      <c r="M1120" s="153"/>
      <c r="N1120" s="153"/>
      <c r="O1120" s="153"/>
      <c r="P1120" s="153"/>
      <c r="Q1120" s="153"/>
      <c r="R1120" s="153"/>
      <c r="S1120" s="153"/>
      <c r="T1120" s="153"/>
    </row>
    <row r="1121">
      <c r="A1121" s="152"/>
      <c r="B1121" s="153"/>
      <c r="C1121" s="152"/>
      <c r="D1121" s="152"/>
      <c r="E1121" s="154">
        <v>6211.0</v>
      </c>
      <c r="F1121" s="152"/>
      <c r="G1121" s="155"/>
      <c r="H1121" s="153" t="s">
        <v>3493</v>
      </c>
      <c r="I1121" s="153" t="s">
        <v>661</v>
      </c>
      <c r="J1121" s="156">
        <v>1114.0</v>
      </c>
      <c r="K1121" s="157" t="s">
        <v>3494</v>
      </c>
      <c r="L1121" s="153" t="s">
        <v>3495</v>
      </c>
      <c r="M1121" s="153"/>
      <c r="N1121" s="153"/>
      <c r="O1121" s="153"/>
      <c r="P1121" s="153"/>
      <c r="Q1121" s="153"/>
      <c r="R1121" s="153"/>
      <c r="S1121" s="153"/>
      <c r="T1121" s="153"/>
    </row>
    <row r="1122">
      <c r="A1122" s="152"/>
      <c r="B1122" s="153"/>
      <c r="C1122" s="152"/>
      <c r="D1122" s="152"/>
      <c r="E1122" s="154">
        <v>6212.0</v>
      </c>
      <c r="F1122" s="152"/>
      <c r="G1122" s="155"/>
      <c r="H1122" s="153" t="s">
        <v>3496</v>
      </c>
      <c r="I1122" s="153" t="s">
        <v>3497</v>
      </c>
      <c r="J1122" s="156">
        <v>1115.0</v>
      </c>
      <c r="K1122" s="157" t="s">
        <v>3498</v>
      </c>
      <c r="L1122" s="153" t="s">
        <v>3499</v>
      </c>
      <c r="M1122" s="153"/>
      <c r="N1122" s="153"/>
      <c r="O1122" s="153"/>
      <c r="P1122" s="153"/>
      <c r="Q1122" s="153"/>
      <c r="R1122" s="153"/>
      <c r="S1122" s="153"/>
      <c r="T1122" s="153"/>
    </row>
    <row r="1123">
      <c r="A1123" s="152"/>
      <c r="B1123" s="153"/>
      <c r="C1123" s="152"/>
      <c r="D1123" s="152"/>
      <c r="E1123" s="154">
        <v>6213.0</v>
      </c>
      <c r="F1123" s="152"/>
      <c r="G1123" s="155"/>
      <c r="H1123" s="153" t="s">
        <v>3500</v>
      </c>
      <c r="I1123" s="153" t="s">
        <v>519</v>
      </c>
      <c r="J1123" s="156">
        <v>1116.0</v>
      </c>
      <c r="K1123" s="157" t="s">
        <v>3501</v>
      </c>
      <c r="L1123" s="153" t="s">
        <v>3502</v>
      </c>
      <c r="M1123" s="153"/>
      <c r="N1123" s="153"/>
      <c r="O1123" s="153"/>
      <c r="P1123" s="153"/>
      <c r="Q1123" s="153"/>
      <c r="R1123" s="153"/>
      <c r="S1123" s="153"/>
      <c r="T1123" s="153"/>
    </row>
    <row r="1124">
      <c r="A1124" s="152"/>
      <c r="B1124" s="153"/>
      <c r="C1124" s="152"/>
      <c r="D1124" s="152"/>
      <c r="E1124" s="154">
        <v>6214.0</v>
      </c>
      <c r="F1124" s="152"/>
      <c r="G1124" s="155"/>
      <c r="H1124" s="153" t="s">
        <v>3503</v>
      </c>
      <c r="I1124" s="153" t="s">
        <v>3504</v>
      </c>
      <c r="J1124" s="156">
        <v>1117.0</v>
      </c>
      <c r="K1124" s="157" t="s">
        <v>3505</v>
      </c>
      <c r="L1124" s="153" t="s">
        <v>3506</v>
      </c>
      <c r="M1124" s="153"/>
      <c r="N1124" s="153"/>
      <c r="O1124" s="153"/>
      <c r="P1124" s="153"/>
      <c r="Q1124" s="153"/>
      <c r="R1124" s="153"/>
      <c r="S1124" s="153"/>
      <c r="T1124" s="153"/>
    </row>
    <row r="1125">
      <c r="A1125" s="152"/>
      <c r="B1125" s="153"/>
      <c r="C1125" s="152"/>
      <c r="D1125" s="152"/>
      <c r="E1125" s="154">
        <v>6215.0</v>
      </c>
      <c r="F1125" s="152"/>
      <c r="G1125" s="155"/>
      <c r="H1125" s="153" t="s">
        <v>3507</v>
      </c>
      <c r="I1125" s="153" t="s">
        <v>463</v>
      </c>
      <c r="J1125" s="156">
        <v>1118.0</v>
      </c>
      <c r="K1125" s="157" t="s">
        <v>3508</v>
      </c>
      <c r="L1125" s="153" t="s">
        <v>3509</v>
      </c>
      <c r="M1125" s="153"/>
      <c r="N1125" s="153"/>
      <c r="O1125" s="153"/>
      <c r="P1125" s="153"/>
      <c r="Q1125" s="153"/>
      <c r="R1125" s="153"/>
      <c r="S1125" s="153"/>
      <c r="T1125" s="153"/>
    </row>
    <row r="1126">
      <c r="A1126" s="152"/>
      <c r="B1126" s="153"/>
      <c r="C1126" s="152"/>
      <c r="D1126" s="152"/>
      <c r="E1126" s="154">
        <v>6216.0</v>
      </c>
      <c r="F1126" s="152"/>
      <c r="G1126" s="155"/>
      <c r="H1126" s="153" t="s">
        <v>19</v>
      </c>
      <c r="I1126" s="153" t="s">
        <v>434</v>
      </c>
      <c r="J1126" s="156">
        <v>1119.0</v>
      </c>
      <c r="K1126" s="157" t="s">
        <v>3510</v>
      </c>
      <c r="L1126" s="153" t="s">
        <v>3511</v>
      </c>
      <c r="M1126" s="153"/>
      <c r="N1126" s="153"/>
      <c r="O1126" s="153"/>
      <c r="P1126" s="153"/>
      <c r="Q1126" s="153"/>
      <c r="R1126" s="153"/>
      <c r="S1126" s="153"/>
      <c r="T1126" s="153"/>
    </row>
    <row r="1127">
      <c r="A1127" s="152"/>
      <c r="B1127" s="153"/>
      <c r="C1127" s="152"/>
      <c r="D1127" s="152"/>
      <c r="E1127" s="154">
        <v>6221.0</v>
      </c>
      <c r="F1127" s="152"/>
      <c r="G1127" s="155"/>
      <c r="H1127" s="153" t="s">
        <v>3512</v>
      </c>
      <c r="I1127" s="153" t="s">
        <v>434</v>
      </c>
      <c r="J1127" s="156">
        <v>1120.0</v>
      </c>
      <c r="K1127" s="157" t="s">
        <v>3513</v>
      </c>
      <c r="L1127" s="153" t="s">
        <v>3514</v>
      </c>
      <c r="M1127" s="153"/>
      <c r="N1127" s="153"/>
      <c r="O1127" s="153"/>
      <c r="P1127" s="153"/>
      <c r="Q1127" s="153"/>
      <c r="R1127" s="153"/>
      <c r="S1127" s="153"/>
      <c r="T1127" s="153"/>
    </row>
    <row r="1128">
      <c r="A1128" s="152"/>
      <c r="B1128" s="153"/>
      <c r="C1128" s="152"/>
      <c r="D1128" s="152"/>
      <c r="E1128" s="154">
        <v>6222.0</v>
      </c>
      <c r="F1128" s="152"/>
      <c r="G1128" s="155"/>
      <c r="H1128" s="153" t="s">
        <v>3515</v>
      </c>
      <c r="I1128" s="153" t="s">
        <v>434</v>
      </c>
      <c r="J1128" s="156">
        <v>1121.0</v>
      </c>
      <c r="K1128" s="157" t="s">
        <v>3516</v>
      </c>
      <c r="L1128" s="153" t="s">
        <v>3517</v>
      </c>
      <c r="M1128" s="153"/>
      <c r="N1128" s="153"/>
      <c r="O1128" s="153"/>
      <c r="P1128" s="153"/>
      <c r="Q1128" s="153"/>
      <c r="R1128" s="153"/>
      <c r="S1128" s="153"/>
      <c r="T1128" s="153"/>
    </row>
    <row r="1129">
      <c r="A1129" s="152"/>
      <c r="B1129" s="153"/>
      <c r="C1129" s="152"/>
      <c r="D1129" s="152"/>
      <c r="E1129" s="154">
        <v>6223.0</v>
      </c>
      <c r="F1129" s="152"/>
      <c r="G1129" s="155"/>
      <c r="H1129" s="153" t="s">
        <v>3518</v>
      </c>
      <c r="I1129" s="153" t="s">
        <v>434</v>
      </c>
      <c r="J1129" s="156">
        <v>1122.0</v>
      </c>
      <c r="K1129" s="157" t="s">
        <v>3519</v>
      </c>
      <c r="L1129" s="153" t="s">
        <v>3520</v>
      </c>
      <c r="M1129" s="153"/>
      <c r="N1129" s="153"/>
      <c r="O1129" s="153"/>
      <c r="P1129" s="153"/>
      <c r="Q1129" s="153"/>
      <c r="R1129" s="153"/>
      <c r="S1129" s="153"/>
      <c r="T1129" s="153"/>
    </row>
    <row r="1130">
      <c r="A1130" s="152"/>
      <c r="B1130" s="153"/>
      <c r="C1130" s="152"/>
      <c r="D1130" s="152"/>
      <c r="E1130" s="154">
        <v>6224.0</v>
      </c>
      <c r="F1130" s="152"/>
      <c r="G1130" s="155"/>
      <c r="H1130" s="153" t="s">
        <v>3521</v>
      </c>
      <c r="I1130" s="153" t="s">
        <v>434</v>
      </c>
      <c r="J1130" s="156">
        <v>1123.0</v>
      </c>
      <c r="K1130" s="157" t="s">
        <v>3522</v>
      </c>
      <c r="L1130" s="153" t="s">
        <v>3523</v>
      </c>
      <c r="M1130" s="153"/>
      <c r="N1130" s="153"/>
      <c r="O1130" s="153"/>
      <c r="P1130" s="153"/>
      <c r="Q1130" s="153"/>
      <c r="R1130" s="153"/>
      <c r="S1130" s="153"/>
      <c r="T1130" s="153"/>
    </row>
    <row r="1131">
      <c r="A1131" s="152"/>
      <c r="B1131" s="153"/>
      <c r="C1131" s="152"/>
      <c r="D1131" s="152"/>
      <c r="E1131" s="154">
        <v>6225.0</v>
      </c>
      <c r="F1131" s="152"/>
      <c r="G1131" s="155"/>
      <c r="H1131" s="153" t="s">
        <v>3524</v>
      </c>
      <c r="I1131" s="153" t="s">
        <v>3525</v>
      </c>
      <c r="J1131" s="156">
        <v>1124.0</v>
      </c>
      <c r="K1131" s="157" t="s">
        <v>3526</v>
      </c>
      <c r="L1131" s="158" t="s">
        <v>3527</v>
      </c>
      <c r="M1131" s="158"/>
      <c r="N1131" s="158"/>
      <c r="O1131" s="158"/>
      <c r="P1131" s="158"/>
      <c r="Q1131" s="158"/>
      <c r="R1131" s="158"/>
      <c r="S1131" s="158"/>
      <c r="T1131" s="158"/>
    </row>
    <row r="1132">
      <c r="A1132" s="152"/>
      <c r="B1132" s="153"/>
      <c r="C1132" s="152"/>
      <c r="D1132" s="152"/>
      <c r="E1132" s="154">
        <v>6226.0</v>
      </c>
      <c r="F1132" s="152"/>
      <c r="G1132" s="155"/>
      <c r="H1132" s="153" t="s">
        <v>3528</v>
      </c>
      <c r="I1132" s="153" t="s">
        <v>434</v>
      </c>
      <c r="J1132" s="156">
        <v>1125.0</v>
      </c>
      <c r="K1132" s="157" t="s">
        <v>3529</v>
      </c>
      <c r="L1132" s="153" t="s">
        <v>3530</v>
      </c>
      <c r="M1132" s="153"/>
      <c r="N1132" s="153"/>
      <c r="O1132" s="153"/>
      <c r="P1132" s="153"/>
      <c r="Q1132" s="153"/>
      <c r="R1132" s="153"/>
      <c r="S1132" s="153"/>
      <c r="T1132" s="153"/>
    </row>
    <row r="1133">
      <c r="A1133" s="152"/>
      <c r="B1133" s="153"/>
      <c r="C1133" s="152"/>
      <c r="D1133" s="152"/>
      <c r="E1133" s="154">
        <v>6231.0</v>
      </c>
      <c r="F1133" s="152"/>
      <c r="G1133" s="155"/>
      <c r="H1133" s="153" t="s">
        <v>3531</v>
      </c>
      <c r="I1133" s="153" t="s">
        <v>434</v>
      </c>
      <c r="J1133" s="156">
        <v>1126.0</v>
      </c>
      <c r="K1133" s="157" t="s">
        <v>3532</v>
      </c>
      <c r="L1133" s="158" t="s">
        <v>3533</v>
      </c>
      <c r="M1133" s="158"/>
      <c r="N1133" s="158"/>
      <c r="O1133" s="158"/>
      <c r="P1133" s="158"/>
      <c r="Q1133" s="158"/>
      <c r="R1133" s="158"/>
      <c r="S1133" s="158"/>
      <c r="T1133" s="158"/>
    </row>
    <row r="1134">
      <c r="A1134" s="152"/>
      <c r="B1134" s="153"/>
      <c r="C1134" s="152"/>
      <c r="D1134" s="152"/>
      <c r="E1134" s="154">
        <v>6232.0</v>
      </c>
      <c r="F1134" s="152"/>
      <c r="G1134" s="155"/>
      <c r="H1134" s="153" t="s">
        <v>3534</v>
      </c>
      <c r="I1134" s="153" t="s">
        <v>182</v>
      </c>
      <c r="J1134" s="156">
        <v>1127.0</v>
      </c>
      <c r="K1134" s="157" t="s">
        <v>3535</v>
      </c>
      <c r="L1134" s="153" t="s">
        <v>3536</v>
      </c>
      <c r="M1134" s="153"/>
      <c r="N1134" s="153"/>
      <c r="O1134" s="153"/>
      <c r="P1134" s="153"/>
      <c r="Q1134" s="153"/>
      <c r="R1134" s="153"/>
      <c r="S1134" s="153"/>
      <c r="T1134" s="153"/>
    </row>
    <row r="1135">
      <c r="A1135" s="152"/>
      <c r="B1135" s="153"/>
      <c r="C1135" s="152"/>
      <c r="D1135" s="152"/>
      <c r="E1135" s="154">
        <v>6233.0</v>
      </c>
      <c r="F1135" s="152"/>
      <c r="G1135" s="155"/>
      <c r="H1135" s="153" t="s">
        <v>3537</v>
      </c>
      <c r="I1135" s="153" t="s">
        <v>246</v>
      </c>
      <c r="J1135" s="156">
        <v>1128.0</v>
      </c>
      <c r="K1135" s="157" t="s">
        <v>3538</v>
      </c>
      <c r="L1135" s="153" t="s">
        <v>3539</v>
      </c>
      <c r="M1135" s="153"/>
      <c r="N1135" s="153"/>
      <c r="O1135" s="153"/>
      <c r="P1135" s="153"/>
      <c r="Q1135" s="153"/>
      <c r="R1135" s="153"/>
      <c r="S1135" s="153"/>
      <c r="T1135" s="153"/>
    </row>
    <row r="1136">
      <c r="A1136" s="152"/>
      <c r="B1136" s="153"/>
      <c r="C1136" s="152"/>
      <c r="D1136" s="152"/>
      <c r="E1136" s="154">
        <v>6234.0</v>
      </c>
      <c r="F1136" s="152"/>
      <c r="G1136" s="155"/>
      <c r="H1136" s="153" t="s">
        <v>3540</v>
      </c>
      <c r="I1136" s="153" t="s">
        <v>824</v>
      </c>
      <c r="J1136" s="156">
        <v>1129.0</v>
      </c>
      <c r="K1136" s="157" t="s">
        <v>3541</v>
      </c>
      <c r="L1136" s="153" t="s">
        <v>3542</v>
      </c>
      <c r="M1136" s="153"/>
      <c r="N1136" s="153"/>
      <c r="O1136" s="153"/>
      <c r="P1136" s="153"/>
      <c r="Q1136" s="153"/>
      <c r="R1136" s="153"/>
      <c r="S1136" s="153"/>
      <c r="T1136" s="153"/>
    </row>
    <row r="1137">
      <c r="A1137" s="152"/>
      <c r="B1137" s="153"/>
      <c r="C1137" s="152"/>
      <c r="D1137" s="152"/>
      <c r="E1137" s="154">
        <v>6235.0</v>
      </c>
      <c r="F1137" s="152"/>
      <c r="G1137" s="155"/>
      <c r="H1137" s="153" t="s">
        <v>3543</v>
      </c>
      <c r="I1137" s="153" t="s">
        <v>661</v>
      </c>
      <c r="J1137" s="156">
        <v>1130.0</v>
      </c>
      <c r="K1137" s="157" t="s">
        <v>3544</v>
      </c>
      <c r="L1137" s="153" t="s">
        <v>3545</v>
      </c>
      <c r="M1137" s="153"/>
      <c r="N1137" s="153"/>
      <c r="O1137" s="153"/>
      <c r="P1137" s="153"/>
      <c r="Q1137" s="153"/>
      <c r="R1137" s="153"/>
      <c r="S1137" s="153"/>
      <c r="T1137" s="153"/>
    </row>
    <row r="1138">
      <c r="A1138" s="152"/>
      <c r="B1138" s="153"/>
      <c r="C1138" s="152"/>
      <c r="D1138" s="152"/>
      <c r="E1138" s="154">
        <v>6236.0</v>
      </c>
      <c r="F1138" s="152"/>
      <c r="G1138" s="155"/>
      <c r="H1138" s="153" t="s">
        <v>3546</v>
      </c>
      <c r="I1138" s="153" t="s">
        <v>3210</v>
      </c>
      <c r="J1138" s="156">
        <v>1131.0</v>
      </c>
      <c r="K1138" s="157" t="s">
        <v>3547</v>
      </c>
      <c r="L1138" s="153" t="s">
        <v>3548</v>
      </c>
      <c r="M1138" s="153"/>
      <c r="N1138" s="153"/>
      <c r="O1138" s="153"/>
      <c r="P1138" s="153"/>
      <c r="Q1138" s="153"/>
      <c r="R1138" s="153"/>
      <c r="S1138" s="153"/>
      <c r="T1138" s="153"/>
    </row>
    <row r="1139">
      <c r="A1139" s="152"/>
      <c r="B1139" s="153"/>
      <c r="C1139" s="152"/>
      <c r="D1139" s="152"/>
      <c r="E1139" s="154">
        <v>6241.0</v>
      </c>
      <c r="F1139" s="152"/>
      <c r="G1139" s="155"/>
      <c r="H1139" s="153" t="s">
        <v>3549</v>
      </c>
      <c r="I1139" s="153" t="s">
        <v>3550</v>
      </c>
      <c r="J1139" s="156">
        <v>1132.0</v>
      </c>
      <c r="K1139" s="157" t="s">
        <v>3551</v>
      </c>
      <c r="L1139" s="153" t="s">
        <v>3552</v>
      </c>
      <c r="M1139" s="153"/>
      <c r="N1139" s="153"/>
      <c r="O1139" s="153"/>
      <c r="P1139" s="153"/>
      <c r="Q1139" s="153"/>
      <c r="R1139" s="153"/>
      <c r="S1139" s="153"/>
      <c r="T1139" s="153"/>
    </row>
    <row r="1140">
      <c r="A1140" s="152"/>
      <c r="B1140" s="153"/>
      <c r="C1140" s="152"/>
      <c r="D1140" s="152"/>
      <c r="E1140" s="154">
        <v>6242.0</v>
      </c>
      <c r="F1140" s="152"/>
      <c r="G1140" s="155"/>
      <c r="H1140" s="153" t="s">
        <v>3553</v>
      </c>
      <c r="I1140" s="153" t="s">
        <v>3554</v>
      </c>
      <c r="J1140" s="156">
        <v>1133.0</v>
      </c>
      <c r="K1140" s="157" t="s">
        <v>3555</v>
      </c>
      <c r="L1140" s="153" t="s">
        <v>3556</v>
      </c>
      <c r="M1140" s="153"/>
      <c r="N1140" s="153"/>
      <c r="O1140" s="153"/>
      <c r="P1140" s="153"/>
      <c r="Q1140" s="153"/>
      <c r="R1140" s="153"/>
      <c r="S1140" s="153"/>
      <c r="T1140" s="153"/>
    </row>
    <row r="1141">
      <c r="A1141" s="152"/>
      <c r="B1141" s="153"/>
      <c r="C1141" s="152"/>
      <c r="D1141" s="152"/>
      <c r="E1141" s="154">
        <v>6243.0</v>
      </c>
      <c r="F1141" s="152"/>
      <c r="G1141" s="155"/>
      <c r="H1141" s="153" t="s">
        <v>3557</v>
      </c>
      <c r="I1141" s="153" t="s">
        <v>608</v>
      </c>
      <c r="J1141" s="156">
        <v>1134.0</v>
      </c>
      <c r="K1141" s="157" t="s">
        <v>3558</v>
      </c>
      <c r="L1141" s="158" t="s">
        <v>3559</v>
      </c>
      <c r="M1141" s="158"/>
      <c r="N1141" s="158"/>
      <c r="O1141" s="158"/>
      <c r="P1141" s="158"/>
      <c r="Q1141" s="158"/>
      <c r="R1141" s="158"/>
      <c r="S1141" s="158"/>
      <c r="T1141" s="158"/>
    </row>
    <row r="1142">
      <c r="A1142" s="152"/>
      <c r="B1142" s="153"/>
      <c r="C1142" s="152"/>
      <c r="D1142" s="152"/>
      <c r="E1142" s="154">
        <v>6244.0</v>
      </c>
      <c r="F1142" s="152"/>
      <c r="G1142" s="155"/>
      <c r="H1142" s="153" t="s">
        <v>3560</v>
      </c>
      <c r="I1142" s="153" t="s">
        <v>156</v>
      </c>
      <c r="J1142" s="156">
        <v>1135.0</v>
      </c>
      <c r="K1142" s="157" t="s">
        <v>3561</v>
      </c>
      <c r="L1142" s="153" t="s">
        <v>3562</v>
      </c>
      <c r="M1142" s="153"/>
      <c r="N1142" s="153"/>
      <c r="O1142" s="153"/>
      <c r="P1142" s="153"/>
      <c r="Q1142" s="153"/>
      <c r="R1142" s="153"/>
      <c r="S1142" s="153"/>
      <c r="T1142" s="153"/>
    </row>
    <row r="1143">
      <c r="A1143" s="152"/>
      <c r="B1143" s="153"/>
      <c r="C1143" s="152"/>
      <c r="D1143" s="152"/>
      <c r="E1143" s="154">
        <v>6245.0</v>
      </c>
      <c r="F1143" s="152"/>
      <c r="G1143" s="155"/>
      <c r="H1143" s="153" t="s">
        <v>3563</v>
      </c>
      <c r="I1143" s="153" t="s">
        <v>246</v>
      </c>
      <c r="J1143" s="156">
        <v>1136.0</v>
      </c>
      <c r="K1143" s="157" t="s">
        <v>3564</v>
      </c>
      <c r="L1143" s="158" t="s">
        <v>3565</v>
      </c>
      <c r="M1143" s="158"/>
      <c r="N1143" s="158"/>
      <c r="O1143" s="158"/>
      <c r="P1143" s="158"/>
      <c r="Q1143" s="158"/>
      <c r="R1143" s="158"/>
      <c r="S1143" s="158"/>
      <c r="T1143" s="158"/>
    </row>
    <row r="1144">
      <c r="A1144" s="152"/>
      <c r="B1144" s="153"/>
      <c r="C1144" s="152"/>
      <c r="D1144" s="152"/>
      <c r="E1144" s="154">
        <v>6246.0</v>
      </c>
      <c r="F1144" s="152"/>
      <c r="G1144" s="155"/>
      <c r="H1144" s="153" t="s">
        <v>3566</v>
      </c>
      <c r="I1144" s="153" t="s">
        <v>246</v>
      </c>
      <c r="J1144" s="156">
        <v>1137.0</v>
      </c>
      <c r="K1144" s="157" t="s">
        <v>3567</v>
      </c>
      <c r="L1144" s="153" t="s">
        <v>3568</v>
      </c>
      <c r="M1144" s="153"/>
      <c r="N1144" s="153"/>
      <c r="O1144" s="153"/>
      <c r="P1144" s="153"/>
      <c r="Q1144" s="153"/>
      <c r="R1144" s="153"/>
      <c r="S1144" s="153"/>
      <c r="T1144" s="153"/>
    </row>
    <row r="1145">
      <c r="A1145" s="152"/>
      <c r="B1145" s="153"/>
      <c r="C1145" s="152"/>
      <c r="D1145" s="152"/>
      <c r="E1145" s="154">
        <v>6251.0</v>
      </c>
      <c r="F1145" s="152"/>
      <c r="G1145" s="155"/>
      <c r="H1145" s="153" t="s">
        <v>3569</v>
      </c>
      <c r="I1145" s="153" t="s">
        <v>1084</v>
      </c>
      <c r="J1145" s="156">
        <v>1138.0</v>
      </c>
      <c r="K1145" s="157" t="s">
        <v>3570</v>
      </c>
      <c r="L1145" s="153" t="s">
        <v>3571</v>
      </c>
      <c r="M1145" s="153"/>
      <c r="N1145" s="153"/>
      <c r="O1145" s="153"/>
      <c r="P1145" s="153"/>
      <c r="Q1145" s="153"/>
      <c r="R1145" s="153"/>
      <c r="S1145" s="153"/>
      <c r="T1145" s="153"/>
    </row>
    <row r="1146">
      <c r="A1146" s="152"/>
      <c r="B1146" s="153"/>
      <c r="C1146" s="152"/>
      <c r="D1146" s="152"/>
      <c r="E1146" s="154">
        <v>6252.0</v>
      </c>
      <c r="F1146" s="152"/>
      <c r="G1146" s="155"/>
      <c r="H1146" s="153" t="s">
        <v>3572</v>
      </c>
      <c r="I1146" s="153" t="s">
        <v>2515</v>
      </c>
      <c r="J1146" s="156">
        <v>1139.0</v>
      </c>
      <c r="K1146" s="157" t="s">
        <v>3573</v>
      </c>
      <c r="L1146" s="153" t="s">
        <v>3574</v>
      </c>
      <c r="M1146" s="153"/>
      <c r="N1146" s="153"/>
      <c r="O1146" s="153"/>
      <c r="P1146" s="153"/>
      <c r="Q1146" s="153"/>
      <c r="R1146" s="153"/>
      <c r="S1146" s="153"/>
      <c r="T1146" s="153"/>
    </row>
    <row r="1147">
      <c r="A1147" s="152"/>
      <c r="B1147" s="153"/>
      <c r="C1147" s="152"/>
      <c r="D1147" s="152"/>
      <c r="E1147" s="154">
        <v>6253.0</v>
      </c>
      <c r="F1147" s="152"/>
      <c r="G1147" s="155"/>
      <c r="H1147" s="153" t="s">
        <v>3575</v>
      </c>
      <c r="I1147" s="153" t="s">
        <v>463</v>
      </c>
      <c r="J1147" s="156">
        <v>1140.0</v>
      </c>
      <c r="K1147" s="157" t="s">
        <v>3576</v>
      </c>
      <c r="L1147" s="153" t="s">
        <v>3577</v>
      </c>
      <c r="M1147" s="153"/>
      <c r="N1147" s="153"/>
      <c r="O1147" s="153"/>
      <c r="P1147" s="153"/>
      <c r="Q1147" s="153"/>
      <c r="R1147" s="153"/>
      <c r="S1147" s="153"/>
      <c r="T1147" s="153"/>
    </row>
    <row r="1148">
      <c r="A1148" s="152"/>
      <c r="B1148" s="153"/>
      <c r="C1148" s="152"/>
      <c r="D1148" s="152"/>
      <c r="E1148" s="154">
        <v>6254.0</v>
      </c>
      <c r="F1148" s="152"/>
      <c r="G1148" s="155"/>
      <c r="H1148" s="153" t="s">
        <v>3578</v>
      </c>
      <c r="I1148" s="153" t="s">
        <v>2515</v>
      </c>
      <c r="J1148" s="156">
        <v>1141.0</v>
      </c>
      <c r="K1148" s="157" t="s">
        <v>3573</v>
      </c>
      <c r="L1148" s="153" t="s">
        <v>3579</v>
      </c>
      <c r="M1148" s="153"/>
      <c r="N1148" s="153"/>
      <c r="O1148" s="153"/>
      <c r="P1148" s="153"/>
      <c r="Q1148" s="153"/>
      <c r="R1148" s="153"/>
      <c r="S1148" s="153"/>
      <c r="T1148" s="153"/>
    </row>
    <row r="1149">
      <c r="A1149" s="152"/>
      <c r="B1149" s="153"/>
      <c r="C1149" s="152"/>
      <c r="D1149" s="152"/>
      <c r="E1149" s="154">
        <v>6255.0</v>
      </c>
      <c r="F1149" s="152"/>
      <c r="G1149" s="155"/>
      <c r="H1149" s="153" t="s">
        <v>3580</v>
      </c>
      <c r="I1149" s="153" t="s">
        <v>156</v>
      </c>
      <c r="J1149" s="156">
        <v>1142.0</v>
      </c>
      <c r="K1149" s="157" t="s">
        <v>3581</v>
      </c>
      <c r="L1149" s="153" t="s">
        <v>3582</v>
      </c>
      <c r="M1149" s="153"/>
      <c r="N1149" s="153"/>
      <c r="O1149" s="153"/>
      <c r="P1149" s="153"/>
      <c r="Q1149" s="153"/>
      <c r="R1149" s="153"/>
      <c r="S1149" s="153"/>
      <c r="T1149" s="153"/>
    </row>
    <row r="1150">
      <c r="A1150" s="152"/>
      <c r="B1150" s="153"/>
      <c r="C1150" s="152"/>
      <c r="D1150" s="152"/>
      <c r="E1150" s="154">
        <v>6256.0</v>
      </c>
      <c r="F1150" s="152"/>
      <c r="G1150" s="155"/>
      <c r="H1150" s="153" t="s">
        <v>3583</v>
      </c>
      <c r="I1150" s="153" t="s">
        <v>156</v>
      </c>
      <c r="J1150" s="156">
        <v>1143.0</v>
      </c>
      <c r="K1150" s="157" t="s">
        <v>3584</v>
      </c>
      <c r="L1150" s="153" t="s">
        <v>3585</v>
      </c>
      <c r="M1150" s="153"/>
      <c r="N1150" s="153"/>
      <c r="O1150" s="153"/>
      <c r="P1150" s="153"/>
      <c r="Q1150" s="153"/>
      <c r="R1150" s="153"/>
      <c r="S1150" s="153"/>
      <c r="T1150" s="153"/>
    </row>
    <row r="1151">
      <c r="A1151" s="152"/>
      <c r="B1151" s="153"/>
      <c r="C1151" s="152"/>
      <c r="D1151" s="152"/>
      <c r="E1151" s="154">
        <v>6261.0</v>
      </c>
      <c r="F1151" s="152"/>
      <c r="G1151" s="155"/>
      <c r="H1151" s="153" t="s">
        <v>3586</v>
      </c>
      <c r="I1151" s="153" t="s">
        <v>156</v>
      </c>
      <c r="J1151" s="156">
        <v>1144.0</v>
      </c>
      <c r="K1151" s="157" t="s">
        <v>3587</v>
      </c>
      <c r="L1151" s="153" t="s">
        <v>3588</v>
      </c>
      <c r="M1151" s="153"/>
      <c r="N1151" s="153"/>
      <c r="O1151" s="153"/>
      <c r="P1151" s="153"/>
      <c r="Q1151" s="153"/>
      <c r="R1151" s="153"/>
      <c r="S1151" s="153"/>
      <c r="T1151" s="153"/>
    </row>
    <row r="1152">
      <c r="A1152" s="152"/>
      <c r="B1152" s="153"/>
      <c r="C1152" s="152"/>
      <c r="D1152" s="152"/>
      <c r="E1152" s="154">
        <v>6262.0</v>
      </c>
      <c r="F1152" s="152"/>
      <c r="G1152" s="155"/>
      <c r="H1152" s="153" t="s">
        <v>3589</v>
      </c>
      <c r="I1152" s="153" t="s">
        <v>167</v>
      </c>
      <c r="J1152" s="156">
        <v>1145.0</v>
      </c>
      <c r="K1152" s="157" t="s">
        <v>3590</v>
      </c>
      <c r="L1152" s="158" t="s">
        <v>3591</v>
      </c>
      <c r="M1152" s="158"/>
      <c r="N1152" s="158"/>
      <c r="O1152" s="158"/>
      <c r="P1152" s="158"/>
      <c r="Q1152" s="158"/>
      <c r="R1152" s="158"/>
      <c r="S1152" s="158"/>
      <c r="T1152" s="158"/>
    </row>
    <row r="1153">
      <c r="A1153" s="152"/>
      <c r="B1153" s="153"/>
      <c r="C1153" s="152"/>
      <c r="D1153" s="152"/>
      <c r="E1153" s="154">
        <v>6263.0</v>
      </c>
      <c r="F1153" s="152"/>
      <c r="G1153" s="155"/>
      <c r="H1153" s="153" t="s">
        <v>3592</v>
      </c>
      <c r="I1153" s="153" t="s">
        <v>2130</v>
      </c>
      <c r="J1153" s="156">
        <v>1146.0</v>
      </c>
      <c r="K1153" s="157" t="s">
        <v>3593</v>
      </c>
      <c r="L1153" s="158" t="s">
        <v>3594</v>
      </c>
      <c r="M1153" s="158"/>
      <c r="N1153" s="158"/>
      <c r="O1153" s="158"/>
      <c r="P1153" s="158"/>
      <c r="Q1153" s="158"/>
      <c r="R1153" s="158"/>
      <c r="S1153" s="158"/>
      <c r="T1153" s="158"/>
    </row>
    <row r="1154">
      <c r="A1154" s="152"/>
      <c r="B1154" s="153"/>
      <c r="C1154" s="152"/>
      <c r="D1154" s="152"/>
      <c r="E1154" s="154">
        <v>6264.0</v>
      </c>
      <c r="F1154" s="152"/>
      <c r="G1154" s="155"/>
      <c r="H1154" s="153" t="s">
        <v>3595</v>
      </c>
      <c r="I1154" s="153" t="s">
        <v>3596</v>
      </c>
      <c r="J1154" s="156">
        <v>1147.0</v>
      </c>
      <c r="K1154" s="157" t="s">
        <v>3597</v>
      </c>
      <c r="L1154" s="158" t="s">
        <v>3598</v>
      </c>
      <c r="M1154" s="158"/>
      <c r="N1154" s="158"/>
      <c r="O1154" s="158"/>
      <c r="P1154" s="158"/>
      <c r="Q1154" s="158"/>
      <c r="R1154" s="158"/>
      <c r="S1154" s="158"/>
      <c r="T1154" s="158"/>
    </row>
    <row r="1155">
      <c r="A1155" s="152"/>
      <c r="B1155" s="153"/>
      <c r="C1155" s="152"/>
      <c r="D1155" s="152"/>
      <c r="E1155" s="154">
        <v>6265.0</v>
      </c>
      <c r="F1155" s="152"/>
      <c r="G1155" s="155"/>
      <c r="H1155" s="153" t="s">
        <v>3599</v>
      </c>
      <c r="I1155" s="153" t="s">
        <v>3210</v>
      </c>
      <c r="J1155" s="156">
        <v>1148.0</v>
      </c>
      <c r="K1155" s="157" t="s">
        <v>3600</v>
      </c>
      <c r="L1155" s="153" t="s">
        <v>3601</v>
      </c>
      <c r="M1155" s="153"/>
      <c r="N1155" s="153"/>
      <c r="O1155" s="153"/>
      <c r="P1155" s="153"/>
      <c r="Q1155" s="153"/>
      <c r="R1155" s="153"/>
      <c r="S1155" s="153"/>
      <c r="T1155" s="153"/>
    </row>
    <row r="1156">
      <c r="A1156" s="152"/>
      <c r="B1156" s="153"/>
      <c r="C1156" s="152"/>
      <c r="D1156" s="152"/>
      <c r="E1156" s="154">
        <v>6266.0</v>
      </c>
      <c r="F1156" s="152"/>
      <c r="G1156" s="155"/>
      <c r="H1156" s="153" t="s">
        <v>3602</v>
      </c>
      <c r="I1156" s="153" t="s">
        <v>3320</v>
      </c>
      <c r="J1156" s="156">
        <v>1149.0</v>
      </c>
      <c r="K1156" s="157" t="s">
        <v>3603</v>
      </c>
      <c r="L1156" s="153" t="s">
        <v>3604</v>
      </c>
      <c r="M1156" s="153"/>
      <c r="N1156" s="153"/>
      <c r="O1156" s="153"/>
      <c r="P1156" s="153"/>
      <c r="Q1156" s="153"/>
      <c r="R1156" s="153"/>
      <c r="S1156" s="153"/>
      <c r="T1156" s="153"/>
    </row>
    <row r="1157">
      <c r="A1157" s="152"/>
      <c r="B1157" s="153"/>
      <c r="C1157" s="152"/>
      <c r="D1157" s="152"/>
      <c r="E1157" s="154">
        <v>6311.0</v>
      </c>
      <c r="F1157" s="152"/>
      <c r="G1157" s="155"/>
      <c r="H1157" s="153" t="s">
        <v>3605</v>
      </c>
      <c r="I1157" s="153" t="s">
        <v>3320</v>
      </c>
      <c r="J1157" s="156">
        <v>1150.0</v>
      </c>
      <c r="K1157" s="157" t="s">
        <v>3606</v>
      </c>
      <c r="L1157" s="153" t="s">
        <v>3607</v>
      </c>
      <c r="M1157" s="153"/>
      <c r="N1157" s="153"/>
      <c r="O1157" s="153"/>
      <c r="P1157" s="153"/>
      <c r="Q1157" s="153"/>
      <c r="R1157" s="153"/>
      <c r="S1157" s="153"/>
      <c r="T1157" s="153"/>
    </row>
    <row r="1158">
      <c r="A1158" s="152"/>
      <c r="B1158" s="153"/>
      <c r="C1158" s="152"/>
      <c r="D1158" s="152"/>
      <c r="E1158" s="154">
        <v>6312.0</v>
      </c>
      <c r="F1158" s="152"/>
      <c r="G1158" s="155"/>
      <c r="H1158" s="153" t="s">
        <v>3608</v>
      </c>
      <c r="I1158" s="153" t="s">
        <v>3320</v>
      </c>
      <c r="J1158" s="156">
        <v>1151.0</v>
      </c>
      <c r="K1158" s="157" t="s">
        <v>3609</v>
      </c>
      <c r="L1158" s="158" t="s">
        <v>3610</v>
      </c>
      <c r="M1158" s="158"/>
      <c r="N1158" s="158"/>
      <c r="O1158" s="158"/>
      <c r="P1158" s="158"/>
      <c r="Q1158" s="158"/>
      <c r="R1158" s="158"/>
      <c r="S1158" s="158"/>
      <c r="T1158" s="158"/>
    </row>
    <row r="1159">
      <c r="A1159" s="152"/>
      <c r="B1159" s="153"/>
      <c r="C1159" s="152"/>
      <c r="D1159" s="152"/>
      <c r="E1159" s="154">
        <v>6313.0</v>
      </c>
      <c r="F1159" s="152"/>
      <c r="G1159" s="155"/>
      <c r="H1159" s="153" t="s">
        <v>3611</v>
      </c>
      <c r="I1159" s="153" t="s">
        <v>3210</v>
      </c>
      <c r="J1159" s="156">
        <v>1152.0</v>
      </c>
      <c r="K1159" s="157" t="s">
        <v>3612</v>
      </c>
      <c r="L1159" s="158" t="s">
        <v>3613</v>
      </c>
      <c r="M1159" s="158"/>
      <c r="N1159" s="158"/>
      <c r="O1159" s="158"/>
      <c r="P1159" s="158"/>
      <c r="Q1159" s="158"/>
      <c r="R1159" s="158"/>
      <c r="S1159" s="158"/>
      <c r="T1159" s="158"/>
    </row>
    <row r="1160">
      <c r="A1160" s="152"/>
      <c r="B1160" s="153"/>
      <c r="C1160" s="152"/>
      <c r="D1160" s="152"/>
      <c r="E1160" s="154">
        <v>6314.0</v>
      </c>
      <c r="F1160" s="152"/>
      <c r="G1160" s="155"/>
      <c r="H1160" s="153" t="s">
        <v>3614</v>
      </c>
      <c r="I1160" s="153" t="s">
        <v>2396</v>
      </c>
      <c r="J1160" s="156">
        <v>1153.0</v>
      </c>
      <c r="K1160" s="157" t="s">
        <v>3615</v>
      </c>
      <c r="L1160" s="153" t="s">
        <v>3616</v>
      </c>
      <c r="M1160" s="153"/>
      <c r="N1160" s="153"/>
      <c r="O1160" s="153"/>
      <c r="P1160" s="153"/>
      <c r="Q1160" s="153"/>
      <c r="R1160" s="153"/>
      <c r="S1160" s="153"/>
      <c r="T1160" s="153"/>
    </row>
    <row r="1161">
      <c r="A1161" s="152"/>
      <c r="B1161" s="153"/>
      <c r="C1161" s="152"/>
      <c r="D1161" s="152"/>
      <c r="E1161" s="154">
        <v>6315.0</v>
      </c>
      <c r="F1161" s="152"/>
      <c r="G1161" s="155"/>
      <c r="H1161" s="153" t="s">
        <v>3617</v>
      </c>
      <c r="I1161" s="153" t="s">
        <v>824</v>
      </c>
      <c r="J1161" s="156">
        <v>1154.0</v>
      </c>
      <c r="K1161" s="157" t="s">
        <v>3618</v>
      </c>
      <c r="L1161" s="153" t="s">
        <v>3619</v>
      </c>
      <c r="M1161" s="153"/>
      <c r="N1161" s="153"/>
      <c r="O1161" s="153"/>
      <c r="P1161" s="153"/>
      <c r="Q1161" s="153"/>
      <c r="R1161" s="153"/>
      <c r="S1161" s="153"/>
      <c r="T1161" s="153"/>
    </row>
    <row r="1162">
      <c r="A1162" s="152"/>
      <c r="B1162" s="153"/>
      <c r="C1162" s="152"/>
      <c r="D1162" s="152"/>
      <c r="E1162" s="154">
        <v>6316.0</v>
      </c>
      <c r="F1162" s="152"/>
      <c r="G1162" s="155"/>
      <c r="H1162" s="153" t="s">
        <v>3620</v>
      </c>
      <c r="I1162" s="153" t="s">
        <v>3210</v>
      </c>
      <c r="J1162" s="156">
        <v>1155.0</v>
      </c>
      <c r="K1162" s="157" t="s">
        <v>3621</v>
      </c>
      <c r="L1162" s="153" t="s">
        <v>3622</v>
      </c>
      <c r="M1162" s="153"/>
      <c r="N1162" s="153"/>
      <c r="O1162" s="153"/>
      <c r="P1162" s="153"/>
      <c r="Q1162" s="153"/>
      <c r="R1162" s="153"/>
      <c r="S1162" s="153"/>
      <c r="T1162" s="153"/>
    </row>
    <row r="1163">
      <c r="A1163" s="152"/>
      <c r="B1163" s="153"/>
      <c r="C1163" s="152"/>
      <c r="D1163" s="152"/>
      <c r="E1163" s="154">
        <v>6321.0</v>
      </c>
      <c r="F1163" s="152"/>
      <c r="G1163" s="155"/>
      <c r="H1163" s="153" t="s">
        <v>3623</v>
      </c>
      <c r="I1163" s="153" t="s">
        <v>824</v>
      </c>
      <c r="J1163" s="156">
        <v>1156.0</v>
      </c>
      <c r="K1163" s="157" t="s">
        <v>3624</v>
      </c>
      <c r="L1163" s="153" t="s">
        <v>3625</v>
      </c>
      <c r="M1163" s="153"/>
      <c r="N1163" s="153"/>
      <c r="O1163" s="153"/>
      <c r="P1163" s="153"/>
      <c r="Q1163" s="153"/>
      <c r="R1163" s="153"/>
      <c r="S1163" s="153"/>
      <c r="T1163" s="153"/>
    </row>
    <row r="1164">
      <c r="A1164" s="152"/>
      <c r="B1164" s="153"/>
      <c r="C1164" s="152"/>
      <c r="D1164" s="152"/>
      <c r="E1164" s="154">
        <v>6322.0</v>
      </c>
      <c r="F1164" s="152"/>
      <c r="G1164" s="155"/>
      <c r="H1164" s="153" t="s">
        <v>3626</v>
      </c>
      <c r="I1164" s="153" t="s">
        <v>1029</v>
      </c>
      <c r="J1164" s="156">
        <v>1157.0</v>
      </c>
      <c r="K1164" s="157" t="s">
        <v>3627</v>
      </c>
      <c r="L1164" s="153" t="s">
        <v>3628</v>
      </c>
      <c r="M1164" s="153"/>
      <c r="N1164" s="153"/>
      <c r="O1164" s="153"/>
      <c r="P1164" s="153"/>
      <c r="Q1164" s="153"/>
      <c r="R1164" s="153"/>
      <c r="S1164" s="153"/>
      <c r="T1164" s="153"/>
    </row>
    <row r="1165">
      <c r="A1165" s="152"/>
      <c r="B1165" s="153"/>
      <c r="C1165" s="152"/>
      <c r="D1165" s="152"/>
      <c r="E1165" s="154">
        <v>6323.0</v>
      </c>
      <c r="F1165" s="152"/>
      <c r="G1165" s="155"/>
      <c r="H1165" s="153" t="s">
        <v>3629</v>
      </c>
      <c r="I1165" s="153" t="s">
        <v>3630</v>
      </c>
      <c r="J1165" s="156">
        <v>1158.0</v>
      </c>
      <c r="K1165" s="157" t="s">
        <v>3631</v>
      </c>
      <c r="L1165" s="153" t="s">
        <v>3632</v>
      </c>
      <c r="M1165" s="153"/>
      <c r="N1165" s="153"/>
      <c r="O1165" s="153"/>
      <c r="P1165" s="153"/>
      <c r="Q1165" s="153"/>
      <c r="R1165" s="153"/>
      <c r="S1165" s="153"/>
      <c r="T1165" s="153"/>
    </row>
    <row r="1166">
      <c r="A1166" s="152"/>
      <c r="B1166" s="153"/>
      <c r="C1166" s="152"/>
      <c r="D1166" s="152"/>
      <c r="E1166" s="154">
        <v>6324.0</v>
      </c>
      <c r="F1166" s="152"/>
      <c r="G1166" s="155"/>
      <c r="H1166" s="153" t="s">
        <v>3633</v>
      </c>
      <c r="I1166" s="153" t="s">
        <v>3630</v>
      </c>
      <c r="J1166" s="156">
        <v>1159.0</v>
      </c>
      <c r="K1166" s="157" t="s">
        <v>3634</v>
      </c>
      <c r="L1166" s="153" t="s">
        <v>3635</v>
      </c>
      <c r="M1166" s="153"/>
      <c r="N1166" s="153"/>
      <c r="O1166" s="153"/>
      <c r="P1166" s="153"/>
      <c r="Q1166" s="153"/>
      <c r="R1166" s="153"/>
      <c r="S1166" s="153"/>
      <c r="T1166" s="153"/>
    </row>
    <row r="1167">
      <c r="A1167" s="152"/>
      <c r="B1167" s="153"/>
      <c r="C1167" s="152"/>
      <c r="D1167" s="152"/>
      <c r="E1167" s="154">
        <v>6325.0</v>
      </c>
      <c r="F1167" s="152"/>
      <c r="G1167" s="155"/>
      <c r="H1167" s="153" t="s">
        <v>3636</v>
      </c>
      <c r="I1167" s="153" t="s">
        <v>3637</v>
      </c>
      <c r="J1167" s="156">
        <v>1160.0</v>
      </c>
      <c r="K1167" s="157" t="s">
        <v>3638</v>
      </c>
      <c r="L1167" s="158" t="s">
        <v>3639</v>
      </c>
      <c r="M1167" s="158"/>
      <c r="N1167" s="158"/>
      <c r="O1167" s="158"/>
      <c r="P1167" s="158"/>
      <c r="Q1167" s="158"/>
      <c r="R1167" s="158"/>
      <c r="S1167" s="158"/>
      <c r="T1167" s="158"/>
    </row>
    <row r="1168">
      <c r="A1168" s="152"/>
      <c r="B1168" s="153"/>
      <c r="C1168" s="152"/>
      <c r="D1168" s="152"/>
      <c r="E1168" s="154">
        <v>6326.0</v>
      </c>
      <c r="F1168" s="152"/>
      <c r="G1168" s="155"/>
      <c r="H1168" s="153" t="s">
        <v>3640</v>
      </c>
      <c r="I1168" s="153" t="s">
        <v>3641</v>
      </c>
      <c r="J1168" s="156">
        <v>1161.0</v>
      </c>
      <c r="K1168" s="157" t="s">
        <v>3642</v>
      </c>
      <c r="L1168" s="158" t="s">
        <v>3643</v>
      </c>
      <c r="M1168" s="158"/>
      <c r="N1168" s="158"/>
      <c r="O1168" s="158"/>
      <c r="P1168" s="158"/>
      <c r="Q1168" s="158"/>
      <c r="R1168" s="158"/>
      <c r="S1168" s="158"/>
      <c r="T1168" s="158"/>
    </row>
    <row r="1169">
      <c r="A1169" s="152"/>
      <c r="B1169" s="153"/>
      <c r="C1169" s="152"/>
      <c r="D1169" s="152"/>
      <c r="E1169" s="154">
        <v>6331.0</v>
      </c>
      <c r="F1169" s="152"/>
      <c r="G1169" s="155"/>
      <c r="H1169" s="153" t="s">
        <v>3644</v>
      </c>
      <c r="I1169" s="153" t="s">
        <v>3320</v>
      </c>
      <c r="J1169" s="156">
        <v>1162.0</v>
      </c>
      <c r="K1169" s="157" t="s">
        <v>3645</v>
      </c>
      <c r="L1169" s="153" t="s">
        <v>3646</v>
      </c>
      <c r="M1169" s="153"/>
      <c r="N1169" s="153"/>
      <c r="O1169" s="153"/>
      <c r="P1169" s="153"/>
      <c r="Q1169" s="153"/>
      <c r="R1169" s="153"/>
      <c r="S1169" s="153"/>
      <c r="T1169" s="153"/>
    </row>
    <row r="1170">
      <c r="A1170" s="152"/>
      <c r="B1170" s="153"/>
      <c r="C1170" s="152"/>
      <c r="D1170" s="152"/>
      <c r="E1170" s="154">
        <v>6332.0</v>
      </c>
      <c r="F1170" s="152"/>
      <c r="G1170" s="155"/>
      <c r="H1170" s="153" t="s">
        <v>3647</v>
      </c>
      <c r="I1170" s="153" t="s">
        <v>3320</v>
      </c>
      <c r="J1170" s="156">
        <v>1163.0</v>
      </c>
      <c r="K1170" s="157" t="s">
        <v>3648</v>
      </c>
      <c r="L1170" s="153" t="s">
        <v>3646</v>
      </c>
      <c r="M1170" s="153"/>
      <c r="N1170" s="153"/>
      <c r="O1170" s="153"/>
      <c r="P1170" s="153"/>
      <c r="Q1170" s="153"/>
      <c r="R1170" s="153"/>
      <c r="S1170" s="153"/>
      <c r="T1170" s="153"/>
    </row>
    <row r="1171">
      <c r="A1171" s="152"/>
      <c r="B1171" s="153"/>
      <c r="C1171" s="152"/>
      <c r="D1171" s="152"/>
      <c r="E1171" s="154">
        <v>6333.0</v>
      </c>
      <c r="F1171" s="152"/>
      <c r="G1171" s="155"/>
      <c r="H1171" s="153" t="s">
        <v>3649</v>
      </c>
      <c r="I1171" s="153" t="s">
        <v>3210</v>
      </c>
      <c r="J1171" s="156">
        <v>1164.0</v>
      </c>
      <c r="K1171" s="157" t="s">
        <v>3650</v>
      </c>
      <c r="L1171" s="153" t="s">
        <v>3651</v>
      </c>
      <c r="M1171" s="153"/>
      <c r="N1171" s="153"/>
      <c r="O1171" s="153"/>
      <c r="P1171" s="153"/>
      <c r="Q1171" s="153"/>
      <c r="R1171" s="153"/>
      <c r="S1171" s="153"/>
      <c r="T1171" s="153"/>
    </row>
    <row r="1172">
      <c r="A1172" s="152"/>
      <c r="B1172" s="153"/>
      <c r="C1172" s="152"/>
      <c r="D1172" s="152"/>
      <c r="E1172" s="154">
        <v>6334.0</v>
      </c>
      <c r="F1172" s="152"/>
      <c r="G1172" s="155"/>
      <c r="H1172" s="153" t="s">
        <v>3652</v>
      </c>
      <c r="I1172" s="153" t="s">
        <v>3653</v>
      </c>
      <c r="J1172" s="156">
        <v>1165.0</v>
      </c>
      <c r="K1172" s="157" t="s">
        <v>3654</v>
      </c>
      <c r="L1172" s="153" t="s">
        <v>3655</v>
      </c>
      <c r="M1172" s="153"/>
      <c r="N1172" s="153"/>
      <c r="O1172" s="153"/>
      <c r="P1172" s="153"/>
      <c r="Q1172" s="153"/>
      <c r="R1172" s="153"/>
      <c r="S1172" s="153"/>
      <c r="T1172" s="153"/>
    </row>
    <row r="1173">
      <c r="A1173" s="152"/>
      <c r="B1173" s="153"/>
      <c r="C1173" s="152"/>
      <c r="D1173" s="152"/>
      <c r="E1173" s="154">
        <v>6335.0</v>
      </c>
      <c r="F1173" s="152"/>
      <c r="G1173" s="155"/>
      <c r="H1173" s="153" t="s">
        <v>3656</v>
      </c>
      <c r="I1173" s="153" t="s">
        <v>3657</v>
      </c>
      <c r="J1173" s="156">
        <v>1166.0</v>
      </c>
      <c r="K1173" s="157" t="s">
        <v>3658</v>
      </c>
      <c r="L1173" s="153" t="s">
        <v>3659</v>
      </c>
      <c r="M1173" s="153"/>
      <c r="N1173" s="153"/>
      <c r="O1173" s="153"/>
      <c r="P1173" s="153"/>
      <c r="Q1173" s="153"/>
      <c r="R1173" s="153"/>
      <c r="S1173" s="153"/>
      <c r="T1173" s="153"/>
    </row>
    <row r="1174">
      <c r="A1174" s="152"/>
      <c r="B1174" s="153"/>
      <c r="C1174" s="152"/>
      <c r="D1174" s="152"/>
      <c r="E1174" s="154">
        <v>6336.0</v>
      </c>
      <c r="F1174" s="152"/>
      <c r="G1174" s="155"/>
      <c r="H1174" s="153" t="s">
        <v>3660</v>
      </c>
      <c r="I1174" s="153" t="s">
        <v>156</v>
      </c>
      <c r="J1174" s="156">
        <v>1167.0</v>
      </c>
      <c r="K1174" s="157" t="s">
        <v>3661</v>
      </c>
      <c r="L1174" s="153" t="s">
        <v>3662</v>
      </c>
      <c r="M1174" s="153"/>
      <c r="N1174" s="153"/>
      <c r="O1174" s="153"/>
      <c r="P1174" s="153"/>
      <c r="Q1174" s="153"/>
      <c r="R1174" s="153"/>
      <c r="S1174" s="153"/>
      <c r="T1174" s="153"/>
    </row>
    <row r="1175">
      <c r="A1175" s="152"/>
      <c r="B1175" s="153"/>
      <c r="C1175" s="152"/>
      <c r="D1175" s="152"/>
      <c r="E1175" s="154">
        <v>6341.0</v>
      </c>
      <c r="F1175" s="152"/>
      <c r="G1175" s="155"/>
      <c r="H1175" s="153" t="s">
        <v>3663</v>
      </c>
      <c r="I1175" s="153" t="s">
        <v>3664</v>
      </c>
      <c r="J1175" s="156">
        <v>1168.0</v>
      </c>
      <c r="K1175" s="157" t="s">
        <v>3665</v>
      </c>
      <c r="L1175" s="153" t="s">
        <v>3666</v>
      </c>
      <c r="M1175" s="153"/>
      <c r="N1175" s="153"/>
      <c r="O1175" s="153"/>
      <c r="P1175" s="153"/>
      <c r="Q1175" s="153"/>
      <c r="R1175" s="153"/>
      <c r="S1175" s="153"/>
      <c r="T1175" s="153"/>
    </row>
    <row r="1176">
      <c r="A1176" s="152"/>
      <c r="B1176" s="153"/>
      <c r="C1176" s="152"/>
      <c r="D1176" s="152"/>
      <c r="E1176" s="154">
        <v>6342.0</v>
      </c>
      <c r="F1176" s="152"/>
      <c r="G1176" s="155"/>
      <c r="H1176" s="153" t="s">
        <v>3667</v>
      </c>
      <c r="I1176" s="153" t="s">
        <v>3668</v>
      </c>
      <c r="J1176" s="156">
        <v>1169.0</v>
      </c>
      <c r="K1176" s="157" t="s">
        <v>3669</v>
      </c>
      <c r="L1176" s="153" t="s">
        <v>3670</v>
      </c>
      <c r="M1176" s="153"/>
      <c r="N1176" s="153"/>
      <c r="O1176" s="153"/>
      <c r="P1176" s="153"/>
      <c r="Q1176" s="153"/>
      <c r="R1176" s="153"/>
      <c r="S1176" s="153"/>
      <c r="T1176" s="153"/>
    </row>
    <row r="1177">
      <c r="A1177" s="152"/>
      <c r="B1177" s="153"/>
      <c r="C1177" s="152"/>
      <c r="D1177" s="152"/>
      <c r="E1177" s="154">
        <v>6343.0</v>
      </c>
      <c r="F1177" s="152"/>
      <c r="G1177" s="155"/>
      <c r="H1177" s="153" t="s">
        <v>3671</v>
      </c>
      <c r="I1177" s="153" t="s">
        <v>2130</v>
      </c>
      <c r="J1177" s="156">
        <v>1170.0</v>
      </c>
      <c r="K1177" s="157" t="s">
        <v>3672</v>
      </c>
      <c r="L1177" s="153" t="s">
        <v>3673</v>
      </c>
      <c r="M1177" s="153"/>
      <c r="N1177" s="153"/>
      <c r="O1177" s="153"/>
      <c r="P1177" s="153"/>
      <c r="Q1177" s="153"/>
      <c r="R1177" s="153"/>
      <c r="S1177" s="153"/>
      <c r="T1177" s="153"/>
    </row>
    <row r="1178">
      <c r="A1178" s="152"/>
      <c r="B1178" s="153"/>
      <c r="C1178" s="152"/>
      <c r="D1178" s="152"/>
      <c r="E1178" s="154">
        <v>6344.0</v>
      </c>
      <c r="F1178" s="152"/>
      <c r="G1178" s="155"/>
      <c r="H1178" s="153" t="s">
        <v>3674</v>
      </c>
      <c r="I1178" s="153" t="s">
        <v>1256</v>
      </c>
      <c r="J1178" s="156">
        <v>1171.0</v>
      </c>
      <c r="K1178" s="157" t="s">
        <v>3675</v>
      </c>
      <c r="L1178" s="158" t="s">
        <v>3676</v>
      </c>
      <c r="M1178" s="158"/>
      <c r="N1178" s="158"/>
      <c r="O1178" s="158"/>
      <c r="P1178" s="158"/>
      <c r="Q1178" s="158"/>
      <c r="R1178" s="158"/>
      <c r="S1178" s="158"/>
      <c r="T1178" s="158"/>
    </row>
    <row r="1179">
      <c r="A1179" s="152"/>
      <c r="B1179" s="153"/>
      <c r="C1179" s="152"/>
      <c r="D1179" s="152"/>
      <c r="E1179" s="154">
        <v>6345.0</v>
      </c>
      <c r="F1179" s="152"/>
      <c r="G1179" s="155"/>
      <c r="H1179" s="153" t="s">
        <v>3677</v>
      </c>
      <c r="I1179" s="153" t="s">
        <v>156</v>
      </c>
      <c r="J1179" s="156">
        <v>1172.0</v>
      </c>
      <c r="K1179" s="157" t="s">
        <v>3661</v>
      </c>
      <c r="L1179" s="153" t="s">
        <v>3678</v>
      </c>
      <c r="M1179" s="153"/>
      <c r="N1179" s="153"/>
      <c r="O1179" s="153"/>
      <c r="P1179" s="153"/>
      <c r="Q1179" s="153"/>
      <c r="R1179" s="153"/>
      <c r="S1179" s="153"/>
      <c r="T1179" s="153"/>
    </row>
    <row r="1180">
      <c r="A1180" s="152"/>
      <c r="B1180" s="153"/>
      <c r="C1180" s="152"/>
      <c r="D1180" s="152"/>
      <c r="E1180" s="154">
        <v>6346.0</v>
      </c>
      <c r="F1180" s="152"/>
      <c r="G1180" s="155"/>
      <c r="H1180" s="153" t="s">
        <v>3679</v>
      </c>
      <c r="I1180" s="153" t="s">
        <v>167</v>
      </c>
      <c r="J1180" s="156">
        <v>1173.0</v>
      </c>
      <c r="K1180" s="157" t="s">
        <v>3680</v>
      </c>
      <c r="L1180" s="153" t="s">
        <v>3681</v>
      </c>
      <c r="M1180" s="153"/>
      <c r="N1180" s="153"/>
      <c r="O1180" s="153"/>
      <c r="P1180" s="153"/>
      <c r="Q1180" s="153"/>
      <c r="R1180" s="153"/>
      <c r="S1180" s="153"/>
      <c r="T1180" s="153"/>
    </row>
    <row r="1181">
      <c r="A1181" s="152"/>
      <c r="B1181" s="153"/>
      <c r="C1181" s="152"/>
      <c r="D1181" s="152"/>
      <c r="E1181" s="154">
        <v>6351.0</v>
      </c>
      <c r="F1181" s="152"/>
      <c r="G1181" s="155"/>
      <c r="H1181" s="153" t="s">
        <v>3682</v>
      </c>
      <c r="I1181" s="153" t="s">
        <v>3296</v>
      </c>
      <c r="J1181" s="156">
        <v>1174.0</v>
      </c>
      <c r="K1181" s="157" t="s">
        <v>3683</v>
      </c>
      <c r="L1181" s="153" t="s">
        <v>3684</v>
      </c>
      <c r="M1181" s="153"/>
      <c r="N1181" s="153"/>
      <c r="O1181" s="153"/>
      <c r="P1181" s="153"/>
      <c r="Q1181" s="153"/>
      <c r="R1181" s="153"/>
      <c r="S1181" s="153"/>
      <c r="T1181" s="153"/>
    </row>
    <row r="1182">
      <c r="A1182" s="152"/>
      <c r="B1182" s="153"/>
      <c r="C1182" s="152"/>
      <c r="D1182" s="152"/>
      <c r="E1182" s="154">
        <v>6352.0</v>
      </c>
      <c r="F1182" s="152"/>
      <c r="G1182" s="155"/>
      <c r="H1182" s="153" t="s">
        <v>3685</v>
      </c>
      <c r="I1182" s="153" t="s">
        <v>156</v>
      </c>
      <c r="J1182" s="156">
        <v>1175.0</v>
      </c>
      <c r="K1182" s="157" t="s">
        <v>3686</v>
      </c>
      <c r="L1182" s="153" t="s">
        <v>3687</v>
      </c>
      <c r="M1182" s="153"/>
      <c r="N1182" s="153"/>
      <c r="O1182" s="153"/>
      <c r="P1182" s="153"/>
      <c r="Q1182" s="153"/>
      <c r="R1182" s="153"/>
      <c r="S1182" s="153"/>
      <c r="T1182" s="153"/>
    </row>
    <row r="1183">
      <c r="A1183" s="152"/>
      <c r="B1183" s="153"/>
      <c r="C1183" s="152"/>
      <c r="D1183" s="152"/>
      <c r="E1183" s="154">
        <v>6353.0</v>
      </c>
      <c r="F1183" s="152"/>
      <c r="G1183" s="155"/>
      <c r="H1183" s="153" t="s">
        <v>3688</v>
      </c>
      <c r="I1183" s="153" t="s">
        <v>3525</v>
      </c>
      <c r="J1183" s="156">
        <v>1176.0</v>
      </c>
      <c r="K1183" s="157" t="s">
        <v>3689</v>
      </c>
      <c r="L1183" s="153" t="s">
        <v>3690</v>
      </c>
      <c r="M1183" s="153"/>
      <c r="N1183" s="153"/>
      <c r="O1183" s="153"/>
      <c r="P1183" s="153"/>
      <c r="Q1183" s="153"/>
      <c r="R1183" s="153"/>
      <c r="S1183" s="153"/>
      <c r="T1183" s="153"/>
    </row>
    <row r="1184">
      <c r="A1184" s="152"/>
      <c r="B1184" s="153"/>
      <c r="C1184" s="152"/>
      <c r="D1184" s="152"/>
      <c r="E1184" s="154">
        <v>6354.0</v>
      </c>
      <c r="F1184" s="152"/>
      <c r="G1184" s="155"/>
      <c r="H1184" s="153" t="s">
        <v>3691</v>
      </c>
      <c r="I1184" s="153" t="s">
        <v>3692</v>
      </c>
      <c r="J1184" s="156">
        <v>1177.0</v>
      </c>
      <c r="K1184" s="157" t="s">
        <v>3693</v>
      </c>
      <c r="L1184" s="153" t="s">
        <v>3694</v>
      </c>
      <c r="M1184" s="153"/>
      <c r="N1184" s="153"/>
      <c r="O1184" s="153"/>
      <c r="P1184" s="153"/>
      <c r="Q1184" s="153"/>
      <c r="R1184" s="153"/>
      <c r="S1184" s="153"/>
      <c r="T1184" s="153"/>
    </row>
    <row r="1185">
      <c r="A1185" s="152"/>
      <c r="B1185" s="153"/>
      <c r="C1185" s="152"/>
      <c r="D1185" s="152"/>
      <c r="E1185" s="154">
        <v>6355.0</v>
      </c>
      <c r="F1185" s="152"/>
      <c r="G1185" s="155"/>
      <c r="H1185" s="153" t="s">
        <v>3695</v>
      </c>
      <c r="I1185" s="153" t="s">
        <v>3696</v>
      </c>
      <c r="J1185" s="156">
        <v>1178.0</v>
      </c>
      <c r="K1185" s="157" t="s">
        <v>3697</v>
      </c>
      <c r="L1185" s="153" t="s">
        <v>3698</v>
      </c>
      <c r="M1185" s="153"/>
      <c r="N1185" s="153"/>
      <c r="O1185" s="153"/>
      <c r="P1185" s="153"/>
      <c r="Q1185" s="153"/>
      <c r="R1185" s="153"/>
      <c r="S1185" s="153"/>
      <c r="T1185" s="153"/>
    </row>
    <row r="1186">
      <c r="A1186" s="152"/>
      <c r="B1186" s="153"/>
      <c r="C1186" s="152"/>
      <c r="D1186" s="152"/>
      <c r="E1186" s="154">
        <v>6356.0</v>
      </c>
      <c r="F1186" s="152"/>
      <c r="G1186" s="155"/>
      <c r="H1186" s="153" t="s">
        <v>3699</v>
      </c>
      <c r="I1186" s="153" t="s">
        <v>3700</v>
      </c>
      <c r="J1186" s="156">
        <v>1179.0</v>
      </c>
      <c r="K1186" s="157" t="s">
        <v>3701</v>
      </c>
      <c r="L1186" s="153" t="s">
        <v>3702</v>
      </c>
      <c r="M1186" s="153"/>
      <c r="N1186" s="153"/>
      <c r="O1186" s="153"/>
      <c r="P1186" s="153"/>
      <c r="Q1186" s="153"/>
      <c r="R1186" s="153"/>
      <c r="S1186" s="153"/>
      <c r="T1186" s="153"/>
    </row>
    <row r="1187">
      <c r="A1187" s="152"/>
      <c r="B1187" s="153"/>
      <c r="C1187" s="152"/>
      <c r="D1187" s="152"/>
      <c r="E1187" s="154">
        <v>6361.0</v>
      </c>
      <c r="F1187" s="152"/>
      <c r="G1187" s="155"/>
      <c r="H1187" s="153" t="s">
        <v>3703</v>
      </c>
      <c r="I1187" s="153" t="s">
        <v>2492</v>
      </c>
      <c r="J1187" s="156">
        <v>1180.0</v>
      </c>
      <c r="K1187" s="157" t="s">
        <v>3704</v>
      </c>
      <c r="L1187" s="153" t="s">
        <v>3705</v>
      </c>
      <c r="M1187" s="153"/>
      <c r="N1187" s="153"/>
      <c r="O1187" s="153"/>
      <c r="P1187" s="153"/>
      <c r="Q1187" s="153"/>
      <c r="R1187" s="153"/>
      <c r="S1187" s="153"/>
      <c r="T1187" s="153"/>
    </row>
    <row r="1188">
      <c r="A1188" s="152"/>
      <c r="B1188" s="153"/>
      <c r="C1188" s="152"/>
      <c r="D1188" s="152"/>
      <c r="E1188" s="154">
        <v>6362.0</v>
      </c>
      <c r="F1188" s="152"/>
      <c r="G1188" s="155"/>
      <c r="H1188" s="153" t="s">
        <v>3706</v>
      </c>
      <c r="I1188" s="153" t="s">
        <v>661</v>
      </c>
      <c r="J1188" s="156">
        <v>1181.0</v>
      </c>
      <c r="K1188" s="157" t="s">
        <v>3707</v>
      </c>
      <c r="L1188" s="153" t="s">
        <v>3708</v>
      </c>
      <c r="M1188" s="153"/>
      <c r="N1188" s="153"/>
      <c r="O1188" s="153"/>
      <c r="P1188" s="153"/>
      <c r="Q1188" s="153"/>
      <c r="R1188" s="153"/>
      <c r="S1188" s="153"/>
      <c r="T1188" s="153"/>
    </row>
    <row r="1189">
      <c r="A1189" s="152"/>
      <c r="B1189" s="153"/>
      <c r="C1189" s="152"/>
      <c r="D1189" s="152"/>
      <c r="E1189" s="154">
        <v>6363.0</v>
      </c>
      <c r="F1189" s="152"/>
      <c r="G1189" s="155"/>
      <c r="H1189" s="153" t="s">
        <v>3709</v>
      </c>
      <c r="I1189" s="153" t="s">
        <v>453</v>
      </c>
      <c r="J1189" s="156">
        <v>1182.0</v>
      </c>
      <c r="K1189" s="157" t="s">
        <v>3710</v>
      </c>
      <c r="L1189" s="158" t="s">
        <v>3711</v>
      </c>
      <c r="M1189" s="158"/>
      <c r="N1189" s="158"/>
      <c r="O1189" s="158"/>
      <c r="P1189" s="158"/>
      <c r="Q1189" s="158"/>
      <c r="R1189" s="158"/>
      <c r="S1189" s="158"/>
      <c r="T1189" s="158"/>
    </row>
    <row r="1190">
      <c r="A1190" s="152"/>
      <c r="B1190" s="153"/>
      <c r="C1190" s="152"/>
      <c r="D1190" s="152"/>
      <c r="E1190" s="154">
        <v>6364.0</v>
      </c>
      <c r="F1190" s="152"/>
      <c r="G1190" s="155"/>
      <c r="H1190" s="153" t="s">
        <v>3712</v>
      </c>
      <c r="I1190" s="153" t="s">
        <v>156</v>
      </c>
      <c r="J1190" s="156">
        <v>1183.0</v>
      </c>
      <c r="K1190" s="157" t="s">
        <v>3713</v>
      </c>
      <c r="L1190" s="153" t="s">
        <v>3714</v>
      </c>
      <c r="M1190" s="153"/>
      <c r="N1190" s="153"/>
      <c r="O1190" s="153"/>
      <c r="P1190" s="153"/>
      <c r="Q1190" s="153"/>
      <c r="R1190" s="153"/>
      <c r="S1190" s="153"/>
      <c r="T1190" s="153"/>
    </row>
    <row r="1191">
      <c r="A1191" s="152"/>
      <c r="B1191" s="153"/>
      <c r="C1191" s="152"/>
      <c r="D1191" s="152"/>
      <c r="E1191" s="154">
        <v>6365.0</v>
      </c>
      <c r="F1191" s="152"/>
      <c r="G1191" s="155"/>
      <c r="H1191" s="153" t="s">
        <v>3715</v>
      </c>
      <c r="I1191" s="153" t="s">
        <v>156</v>
      </c>
      <c r="J1191" s="156">
        <v>1184.0</v>
      </c>
      <c r="K1191" s="157" t="s">
        <v>3716</v>
      </c>
      <c r="L1191" s="158" t="s">
        <v>3717</v>
      </c>
      <c r="M1191" s="158"/>
      <c r="N1191" s="158"/>
      <c r="O1191" s="158"/>
      <c r="P1191" s="158"/>
      <c r="Q1191" s="158"/>
      <c r="R1191" s="158"/>
      <c r="S1191" s="158"/>
      <c r="T1191" s="158"/>
    </row>
    <row r="1192">
      <c r="A1192" s="152"/>
      <c r="B1192" s="153"/>
      <c r="C1192" s="152"/>
      <c r="D1192" s="152"/>
      <c r="E1192" s="154">
        <v>6366.0</v>
      </c>
      <c r="F1192" s="152"/>
      <c r="G1192" s="155"/>
      <c r="H1192" s="153" t="s">
        <v>3718</v>
      </c>
      <c r="I1192" s="153" t="s">
        <v>453</v>
      </c>
      <c r="J1192" s="156">
        <v>1185.0</v>
      </c>
      <c r="K1192" s="157" t="s">
        <v>3719</v>
      </c>
      <c r="L1192" s="158" t="s">
        <v>3720</v>
      </c>
      <c r="M1192" s="158"/>
      <c r="N1192" s="158"/>
      <c r="O1192" s="158"/>
      <c r="P1192" s="158"/>
      <c r="Q1192" s="158"/>
      <c r="R1192" s="158"/>
      <c r="S1192" s="158"/>
      <c r="T1192" s="158"/>
    </row>
    <row r="1193">
      <c r="A1193" s="152"/>
      <c r="B1193" s="153"/>
      <c r="C1193" s="152"/>
      <c r="D1193" s="152"/>
      <c r="E1193" s="154">
        <v>6411.0</v>
      </c>
      <c r="F1193" s="152"/>
      <c r="G1193" s="155"/>
      <c r="H1193" s="153" t="s">
        <v>3721</v>
      </c>
      <c r="I1193" s="153" t="s">
        <v>156</v>
      </c>
      <c r="J1193" s="156">
        <v>1186.0</v>
      </c>
      <c r="K1193" s="157" t="s">
        <v>3722</v>
      </c>
      <c r="L1193" s="158" t="s">
        <v>3723</v>
      </c>
      <c r="M1193" s="158"/>
      <c r="N1193" s="158"/>
      <c r="O1193" s="158"/>
      <c r="P1193" s="158"/>
      <c r="Q1193" s="158"/>
      <c r="R1193" s="158"/>
      <c r="S1193" s="158"/>
      <c r="T1193" s="158"/>
    </row>
    <row r="1194">
      <c r="A1194" s="152"/>
      <c r="B1194" s="153"/>
      <c r="C1194" s="152"/>
      <c r="D1194" s="152"/>
      <c r="E1194" s="154">
        <v>6412.0</v>
      </c>
      <c r="F1194" s="152"/>
      <c r="G1194" s="155"/>
      <c r="H1194" s="153" t="s">
        <v>3724</v>
      </c>
      <c r="I1194" s="153" t="s">
        <v>1435</v>
      </c>
      <c r="J1194" s="156">
        <v>1187.0</v>
      </c>
      <c r="K1194" s="157" t="s">
        <v>3725</v>
      </c>
      <c r="L1194" s="153" t="s">
        <v>3726</v>
      </c>
      <c r="M1194" s="153"/>
      <c r="N1194" s="153"/>
      <c r="O1194" s="153"/>
      <c r="P1194" s="153"/>
      <c r="Q1194" s="153"/>
      <c r="R1194" s="153"/>
      <c r="S1194" s="153"/>
      <c r="T1194" s="153"/>
    </row>
    <row r="1195">
      <c r="A1195" s="152"/>
      <c r="B1195" s="153"/>
      <c r="C1195" s="152"/>
      <c r="D1195" s="152"/>
      <c r="E1195" s="154">
        <v>6413.0</v>
      </c>
      <c r="F1195" s="152"/>
      <c r="G1195" s="155"/>
      <c r="H1195" s="153" t="s">
        <v>3727</v>
      </c>
      <c r="I1195" s="153" t="s">
        <v>156</v>
      </c>
      <c r="J1195" s="156">
        <v>1188.0</v>
      </c>
      <c r="K1195" s="157" t="s">
        <v>3728</v>
      </c>
      <c r="L1195" s="153" t="s">
        <v>3729</v>
      </c>
      <c r="M1195" s="153"/>
      <c r="N1195" s="153"/>
      <c r="O1195" s="153"/>
      <c r="P1195" s="153"/>
      <c r="Q1195" s="153"/>
      <c r="R1195" s="153"/>
      <c r="S1195" s="153"/>
      <c r="T1195" s="153"/>
    </row>
    <row r="1196">
      <c r="A1196" s="152"/>
      <c r="B1196" s="153"/>
      <c r="C1196" s="152"/>
      <c r="D1196" s="152"/>
      <c r="E1196" s="154">
        <v>6414.0</v>
      </c>
      <c r="F1196" s="152"/>
      <c r="G1196" s="155"/>
      <c r="H1196" s="153" t="s">
        <v>3730</v>
      </c>
      <c r="I1196" s="153" t="s">
        <v>2525</v>
      </c>
      <c r="J1196" s="156">
        <v>1189.0</v>
      </c>
      <c r="K1196" s="157" t="s">
        <v>3731</v>
      </c>
      <c r="L1196" s="158" t="s">
        <v>3732</v>
      </c>
      <c r="M1196" s="158"/>
      <c r="N1196" s="158"/>
      <c r="O1196" s="158"/>
      <c r="P1196" s="158"/>
      <c r="Q1196" s="158"/>
      <c r="R1196" s="158"/>
      <c r="S1196" s="158"/>
      <c r="T1196" s="158"/>
    </row>
    <row r="1197">
      <c r="A1197" s="152"/>
      <c r="B1197" s="153"/>
      <c r="C1197" s="152"/>
      <c r="D1197" s="152"/>
      <c r="E1197" s="154">
        <v>6415.0</v>
      </c>
      <c r="F1197" s="152"/>
      <c r="G1197" s="155"/>
      <c r="H1197" s="153" t="s">
        <v>3733</v>
      </c>
      <c r="I1197" s="153" t="s">
        <v>156</v>
      </c>
      <c r="J1197" s="156">
        <v>1190.0</v>
      </c>
      <c r="K1197" s="157" t="s">
        <v>3734</v>
      </c>
      <c r="L1197" s="158" t="s">
        <v>3735</v>
      </c>
      <c r="M1197" s="158"/>
      <c r="N1197" s="158"/>
      <c r="O1197" s="158"/>
      <c r="P1197" s="158"/>
      <c r="Q1197" s="158"/>
      <c r="R1197" s="158"/>
      <c r="S1197" s="158"/>
      <c r="T1197" s="158"/>
    </row>
    <row r="1198">
      <c r="A1198" s="152"/>
      <c r="B1198" s="153"/>
      <c r="C1198" s="152"/>
      <c r="D1198" s="152"/>
      <c r="E1198" s="154">
        <v>6416.0</v>
      </c>
      <c r="F1198" s="152"/>
      <c r="G1198" s="155"/>
      <c r="H1198" s="153" t="s">
        <v>3736</v>
      </c>
      <c r="I1198" s="153" t="s">
        <v>3550</v>
      </c>
      <c r="J1198" s="156">
        <v>1191.0</v>
      </c>
      <c r="K1198" s="157" t="s">
        <v>3737</v>
      </c>
      <c r="L1198" s="153" t="s">
        <v>3738</v>
      </c>
      <c r="M1198" s="153"/>
      <c r="N1198" s="153"/>
      <c r="O1198" s="153"/>
      <c r="P1198" s="153"/>
      <c r="Q1198" s="153"/>
      <c r="R1198" s="153"/>
      <c r="S1198" s="153"/>
      <c r="T1198" s="153"/>
    </row>
    <row r="1199">
      <c r="A1199" s="152"/>
      <c r="B1199" s="153"/>
      <c r="C1199" s="152"/>
      <c r="D1199" s="152"/>
      <c r="E1199" s="154">
        <v>6421.0</v>
      </c>
      <c r="F1199" s="152"/>
      <c r="G1199" s="155"/>
      <c r="H1199" s="153" t="s">
        <v>3739</v>
      </c>
      <c r="I1199" s="153" t="s">
        <v>1452</v>
      </c>
      <c r="J1199" s="156">
        <v>1192.0</v>
      </c>
      <c r="K1199" s="157" t="s">
        <v>3740</v>
      </c>
      <c r="L1199" s="158" t="s">
        <v>3741</v>
      </c>
      <c r="M1199" s="158"/>
      <c r="N1199" s="158"/>
      <c r="O1199" s="158"/>
      <c r="P1199" s="158"/>
      <c r="Q1199" s="158"/>
      <c r="R1199" s="158"/>
      <c r="S1199" s="158"/>
      <c r="T1199" s="158"/>
    </row>
    <row r="1200">
      <c r="A1200" s="152"/>
      <c r="B1200" s="153"/>
      <c r="C1200" s="152"/>
      <c r="D1200" s="152"/>
      <c r="E1200" s="154">
        <v>6422.0</v>
      </c>
      <c r="F1200" s="152"/>
      <c r="G1200" s="155"/>
      <c r="H1200" s="153" t="s">
        <v>3742</v>
      </c>
      <c r="I1200" s="153" t="s">
        <v>3692</v>
      </c>
      <c r="J1200" s="156">
        <v>1193.0</v>
      </c>
      <c r="K1200" s="157" t="s">
        <v>3693</v>
      </c>
      <c r="L1200" s="158" t="s">
        <v>3743</v>
      </c>
      <c r="M1200" s="158"/>
      <c r="N1200" s="158"/>
      <c r="O1200" s="158"/>
      <c r="P1200" s="158"/>
      <c r="Q1200" s="158"/>
      <c r="R1200" s="158"/>
      <c r="S1200" s="158"/>
      <c r="T1200" s="158"/>
    </row>
    <row r="1201">
      <c r="A1201" s="152"/>
      <c r="B1201" s="153"/>
      <c r="C1201" s="152"/>
      <c r="D1201" s="152"/>
      <c r="E1201" s="154">
        <v>6423.0</v>
      </c>
      <c r="F1201" s="152"/>
      <c r="G1201" s="155"/>
      <c r="H1201" s="153" t="s">
        <v>3744</v>
      </c>
      <c r="I1201" s="153" t="s">
        <v>661</v>
      </c>
      <c r="J1201" s="156">
        <v>1194.0</v>
      </c>
      <c r="K1201" s="157" t="s">
        <v>3745</v>
      </c>
      <c r="L1201" s="158" t="s">
        <v>3746</v>
      </c>
      <c r="M1201" s="158"/>
      <c r="N1201" s="158"/>
      <c r="O1201" s="158"/>
      <c r="P1201" s="158"/>
      <c r="Q1201" s="158"/>
      <c r="R1201" s="158"/>
      <c r="S1201" s="158"/>
      <c r="T1201" s="158"/>
    </row>
    <row r="1202">
      <c r="A1202" s="152"/>
      <c r="B1202" s="153"/>
      <c r="C1202" s="152"/>
      <c r="D1202" s="152"/>
      <c r="E1202" s="154">
        <v>6424.0</v>
      </c>
      <c r="F1202" s="152"/>
      <c r="G1202" s="155"/>
      <c r="H1202" s="153" t="s">
        <v>3747</v>
      </c>
      <c r="I1202" s="153" t="s">
        <v>156</v>
      </c>
      <c r="J1202" s="156">
        <v>1195.0</v>
      </c>
      <c r="K1202" s="157" t="s">
        <v>3748</v>
      </c>
      <c r="L1202" s="158" t="s">
        <v>3749</v>
      </c>
      <c r="M1202" s="158"/>
      <c r="N1202" s="158"/>
      <c r="O1202" s="158"/>
      <c r="P1202" s="158"/>
      <c r="Q1202" s="158"/>
      <c r="R1202" s="158"/>
      <c r="S1202" s="158"/>
      <c r="T1202" s="158"/>
    </row>
    <row r="1203">
      <c r="A1203" s="152"/>
      <c r="B1203" s="153"/>
      <c r="C1203" s="152"/>
      <c r="D1203" s="152"/>
      <c r="E1203" s="154">
        <v>6425.0</v>
      </c>
      <c r="F1203" s="152"/>
      <c r="G1203" s="155"/>
      <c r="H1203" s="153" t="s">
        <v>3750</v>
      </c>
      <c r="I1203" s="153" t="s">
        <v>661</v>
      </c>
      <c r="J1203" s="156">
        <v>1196.0</v>
      </c>
      <c r="K1203" s="157" t="s">
        <v>3751</v>
      </c>
      <c r="L1203" s="153" t="s">
        <v>3752</v>
      </c>
      <c r="M1203" s="153"/>
      <c r="N1203" s="153"/>
      <c r="O1203" s="153"/>
      <c r="P1203" s="153"/>
      <c r="Q1203" s="153"/>
      <c r="R1203" s="153"/>
      <c r="S1203" s="153"/>
      <c r="T1203" s="153"/>
    </row>
    <row r="1204">
      <c r="A1204" s="152"/>
      <c r="B1204" s="153"/>
      <c r="C1204" s="152"/>
      <c r="D1204" s="152"/>
      <c r="E1204" s="154">
        <v>6426.0</v>
      </c>
      <c r="F1204" s="152"/>
      <c r="G1204" s="155"/>
      <c r="H1204" s="153" t="s">
        <v>3753</v>
      </c>
      <c r="I1204" s="153" t="s">
        <v>401</v>
      </c>
      <c r="J1204" s="156">
        <v>1197.0</v>
      </c>
      <c r="K1204" s="157" t="s">
        <v>3754</v>
      </c>
      <c r="L1204" s="153" t="s">
        <v>3755</v>
      </c>
      <c r="M1204" s="153"/>
      <c r="N1204" s="153"/>
      <c r="O1204" s="153"/>
      <c r="P1204" s="153"/>
      <c r="Q1204" s="153"/>
      <c r="R1204" s="153"/>
      <c r="S1204" s="153"/>
      <c r="T1204" s="153"/>
    </row>
    <row r="1205">
      <c r="A1205" s="152"/>
      <c r="B1205" s="153"/>
      <c r="C1205" s="152"/>
      <c r="D1205" s="152"/>
      <c r="E1205" s="154">
        <v>6431.0</v>
      </c>
      <c r="F1205" s="152"/>
      <c r="G1205" s="155"/>
      <c r="H1205" s="153" t="s">
        <v>3756</v>
      </c>
      <c r="I1205" s="153" t="s">
        <v>401</v>
      </c>
      <c r="J1205" s="156">
        <v>1198.0</v>
      </c>
      <c r="K1205" s="157" t="s">
        <v>3757</v>
      </c>
      <c r="L1205" s="153" t="s">
        <v>3758</v>
      </c>
      <c r="M1205" s="153"/>
      <c r="N1205" s="153"/>
      <c r="O1205" s="153"/>
      <c r="P1205" s="153"/>
      <c r="Q1205" s="153"/>
      <c r="R1205" s="153"/>
      <c r="S1205" s="153"/>
      <c r="T1205" s="153"/>
    </row>
    <row r="1206">
      <c r="A1206" s="152"/>
      <c r="B1206" s="153"/>
      <c r="C1206" s="152"/>
      <c r="D1206" s="152"/>
      <c r="E1206" s="154">
        <v>6432.0</v>
      </c>
      <c r="F1206" s="152"/>
      <c r="G1206" s="155"/>
      <c r="H1206" s="153" t="s">
        <v>3759</v>
      </c>
      <c r="I1206" s="153" t="s">
        <v>156</v>
      </c>
      <c r="J1206" s="156">
        <v>1199.0</v>
      </c>
      <c r="K1206" s="157" t="s">
        <v>3760</v>
      </c>
      <c r="L1206" s="158" t="s">
        <v>3761</v>
      </c>
      <c r="M1206" s="158"/>
      <c r="N1206" s="158"/>
      <c r="O1206" s="158"/>
      <c r="P1206" s="158"/>
      <c r="Q1206" s="158"/>
      <c r="R1206" s="158"/>
      <c r="S1206" s="158"/>
      <c r="T1206" s="158"/>
    </row>
    <row r="1207">
      <c r="A1207" s="152"/>
      <c r="B1207" s="153"/>
      <c r="C1207" s="152"/>
      <c r="D1207" s="152"/>
      <c r="E1207" s="154">
        <v>6433.0</v>
      </c>
      <c r="F1207" s="152"/>
      <c r="G1207" s="155"/>
      <c r="H1207" s="153" t="s">
        <v>3762</v>
      </c>
      <c r="I1207" s="153" t="s">
        <v>2076</v>
      </c>
      <c r="J1207" s="156">
        <v>1200.0</v>
      </c>
      <c r="K1207" s="157" t="s">
        <v>3763</v>
      </c>
      <c r="L1207" s="158" t="s">
        <v>3764</v>
      </c>
      <c r="M1207" s="158"/>
      <c r="N1207" s="158"/>
      <c r="O1207" s="158"/>
      <c r="P1207" s="158"/>
      <c r="Q1207" s="158"/>
      <c r="R1207" s="158"/>
      <c r="S1207" s="158"/>
      <c r="T1207" s="158"/>
    </row>
    <row r="1208">
      <c r="A1208" s="152"/>
      <c r="B1208" s="153"/>
      <c r="C1208" s="152"/>
      <c r="D1208" s="152"/>
      <c r="E1208" s="154">
        <v>6434.0</v>
      </c>
      <c r="F1208" s="152"/>
      <c r="G1208" s="155"/>
      <c r="H1208" s="153" t="s">
        <v>3765</v>
      </c>
      <c r="I1208" s="153" t="s">
        <v>156</v>
      </c>
      <c r="J1208" s="156">
        <v>1201.0</v>
      </c>
      <c r="K1208" s="157" t="s">
        <v>3766</v>
      </c>
      <c r="L1208" s="153" t="s">
        <v>3767</v>
      </c>
      <c r="M1208" s="153"/>
      <c r="N1208" s="153"/>
      <c r="O1208" s="153"/>
      <c r="P1208" s="153"/>
      <c r="Q1208" s="153"/>
      <c r="R1208" s="153"/>
      <c r="S1208" s="153"/>
      <c r="T1208" s="153"/>
    </row>
    <row r="1209">
      <c r="A1209" s="152"/>
      <c r="B1209" s="153"/>
      <c r="C1209" s="152"/>
      <c r="D1209" s="152"/>
      <c r="E1209" s="154">
        <v>6435.0</v>
      </c>
      <c r="F1209" s="152"/>
      <c r="G1209" s="155"/>
      <c r="H1209" s="153" t="s">
        <v>3768</v>
      </c>
      <c r="I1209" s="153" t="s">
        <v>167</v>
      </c>
      <c r="J1209" s="156">
        <v>1202.0</v>
      </c>
      <c r="K1209" s="157" t="s">
        <v>3769</v>
      </c>
      <c r="L1209" s="153" t="s">
        <v>3770</v>
      </c>
      <c r="M1209" s="153"/>
      <c r="N1209" s="153"/>
      <c r="O1209" s="153"/>
      <c r="P1209" s="153"/>
      <c r="Q1209" s="153"/>
      <c r="R1209" s="153"/>
      <c r="S1209" s="153"/>
      <c r="T1209" s="153"/>
    </row>
    <row r="1210">
      <c r="A1210" s="152"/>
      <c r="B1210" s="153"/>
      <c r="C1210" s="152"/>
      <c r="D1210" s="152"/>
      <c r="E1210" s="154">
        <v>6436.0</v>
      </c>
      <c r="F1210" s="152"/>
      <c r="G1210" s="155"/>
      <c r="H1210" s="153" t="s">
        <v>3771</v>
      </c>
      <c r="I1210" s="153" t="s">
        <v>463</v>
      </c>
      <c r="J1210" s="156">
        <v>1203.0</v>
      </c>
      <c r="K1210" s="157" t="s">
        <v>3772</v>
      </c>
      <c r="L1210" s="153" t="s">
        <v>3773</v>
      </c>
      <c r="M1210" s="153"/>
      <c r="N1210" s="153"/>
      <c r="O1210" s="153"/>
      <c r="P1210" s="153"/>
      <c r="Q1210" s="153"/>
      <c r="R1210" s="153"/>
      <c r="S1210" s="153"/>
      <c r="T1210" s="153"/>
    </row>
    <row r="1211">
      <c r="A1211" s="152"/>
      <c r="B1211" s="153"/>
      <c r="C1211" s="152"/>
      <c r="D1211" s="152"/>
      <c r="E1211" s="154">
        <v>6441.0</v>
      </c>
      <c r="F1211" s="152"/>
      <c r="G1211" s="155"/>
      <c r="H1211" s="153" t="s">
        <v>3774</v>
      </c>
      <c r="I1211" s="153" t="s">
        <v>2502</v>
      </c>
      <c r="J1211" s="156">
        <v>1204.0</v>
      </c>
      <c r="K1211" s="157" t="s">
        <v>3775</v>
      </c>
      <c r="L1211" s="158" t="s">
        <v>3776</v>
      </c>
      <c r="M1211" s="158"/>
      <c r="N1211" s="158"/>
      <c r="O1211" s="158"/>
      <c r="P1211" s="158"/>
      <c r="Q1211" s="158"/>
      <c r="R1211" s="158"/>
      <c r="S1211" s="158"/>
      <c r="T1211" s="158"/>
    </row>
    <row r="1212">
      <c r="A1212" s="152"/>
      <c r="B1212" s="153"/>
      <c r="C1212" s="152"/>
      <c r="D1212" s="152"/>
      <c r="E1212" s="154">
        <v>6442.0</v>
      </c>
      <c r="F1212" s="152"/>
      <c r="G1212" s="155"/>
      <c r="H1212" s="153" t="s">
        <v>3777</v>
      </c>
      <c r="I1212" s="153" t="s">
        <v>661</v>
      </c>
      <c r="J1212" s="156">
        <v>1205.0</v>
      </c>
      <c r="K1212" s="157" t="s">
        <v>3778</v>
      </c>
      <c r="L1212" s="153" t="s">
        <v>3779</v>
      </c>
      <c r="M1212" s="153"/>
      <c r="N1212" s="153"/>
      <c r="O1212" s="153"/>
      <c r="P1212" s="153"/>
      <c r="Q1212" s="153"/>
      <c r="R1212" s="153"/>
      <c r="S1212" s="153"/>
      <c r="T1212" s="153"/>
    </row>
    <row r="1213">
      <c r="A1213" s="152"/>
      <c r="B1213" s="153"/>
      <c r="C1213" s="152"/>
      <c r="D1213" s="152"/>
      <c r="E1213" s="154">
        <v>6443.0</v>
      </c>
      <c r="F1213" s="152"/>
      <c r="G1213" s="155"/>
      <c r="H1213" s="153" t="s">
        <v>3780</v>
      </c>
      <c r="I1213" s="153" t="s">
        <v>246</v>
      </c>
      <c r="J1213" s="156">
        <v>1206.0</v>
      </c>
      <c r="K1213" s="157" t="s">
        <v>3781</v>
      </c>
      <c r="L1213" s="153" t="s">
        <v>3782</v>
      </c>
      <c r="M1213" s="153"/>
      <c r="N1213" s="153"/>
      <c r="O1213" s="153"/>
      <c r="P1213" s="153"/>
      <c r="Q1213" s="153"/>
      <c r="R1213" s="153"/>
      <c r="S1213" s="153"/>
      <c r="T1213" s="153"/>
    </row>
    <row r="1214">
      <c r="A1214" s="152"/>
      <c r="B1214" s="153"/>
      <c r="C1214" s="152"/>
      <c r="D1214" s="152"/>
      <c r="E1214" s="154">
        <v>6444.0</v>
      </c>
      <c r="F1214" s="152"/>
      <c r="G1214" s="155"/>
      <c r="H1214" s="153" t="s">
        <v>3783</v>
      </c>
      <c r="I1214" s="153" t="s">
        <v>661</v>
      </c>
      <c r="J1214" s="156">
        <v>1207.0</v>
      </c>
      <c r="K1214" s="157" t="s">
        <v>3784</v>
      </c>
      <c r="L1214" s="153" t="s">
        <v>3785</v>
      </c>
      <c r="M1214" s="153"/>
      <c r="N1214" s="153"/>
      <c r="O1214" s="153"/>
      <c r="P1214" s="153"/>
      <c r="Q1214" s="153"/>
      <c r="R1214" s="153"/>
      <c r="S1214" s="153"/>
      <c r="T1214" s="153"/>
    </row>
    <row r="1215">
      <c r="A1215" s="152"/>
      <c r="B1215" s="153"/>
      <c r="C1215" s="152"/>
      <c r="D1215" s="152"/>
      <c r="E1215" s="154">
        <v>6445.0</v>
      </c>
      <c r="F1215" s="152"/>
      <c r="G1215" s="155"/>
      <c r="H1215" s="153" t="s">
        <v>3786</v>
      </c>
      <c r="I1215" s="153" t="s">
        <v>246</v>
      </c>
      <c r="J1215" s="156">
        <v>1208.0</v>
      </c>
      <c r="K1215" s="157" t="s">
        <v>3781</v>
      </c>
      <c r="L1215" s="153" t="s">
        <v>3787</v>
      </c>
      <c r="M1215" s="153"/>
      <c r="N1215" s="153"/>
      <c r="O1215" s="153"/>
      <c r="P1215" s="153"/>
      <c r="Q1215" s="153"/>
      <c r="R1215" s="153"/>
      <c r="S1215" s="153"/>
      <c r="T1215" s="153"/>
    </row>
    <row r="1216">
      <c r="A1216" s="152"/>
      <c r="B1216" s="153"/>
      <c r="C1216" s="152"/>
      <c r="D1216" s="152"/>
      <c r="E1216" s="154">
        <v>6446.0</v>
      </c>
      <c r="F1216" s="152"/>
      <c r="G1216" s="155"/>
      <c r="H1216" s="153" t="s">
        <v>3788</v>
      </c>
      <c r="I1216" s="153" t="s">
        <v>246</v>
      </c>
      <c r="J1216" s="156">
        <v>1209.0</v>
      </c>
      <c r="K1216" s="157" t="s">
        <v>3789</v>
      </c>
      <c r="L1216" s="153" t="s">
        <v>3790</v>
      </c>
      <c r="M1216" s="153"/>
      <c r="N1216" s="153"/>
      <c r="O1216" s="153"/>
      <c r="P1216" s="153"/>
      <c r="Q1216" s="153"/>
      <c r="R1216" s="153"/>
      <c r="S1216" s="153"/>
      <c r="T1216" s="153"/>
    </row>
    <row r="1217">
      <c r="A1217" s="152"/>
      <c r="B1217" s="153"/>
      <c r="C1217" s="152"/>
      <c r="D1217" s="152"/>
      <c r="E1217" s="154">
        <v>6451.0</v>
      </c>
      <c r="F1217" s="152"/>
      <c r="G1217" s="155"/>
      <c r="H1217" s="153" t="s">
        <v>3791</v>
      </c>
      <c r="I1217" s="153" t="s">
        <v>167</v>
      </c>
      <c r="J1217" s="156">
        <v>1210.0</v>
      </c>
      <c r="K1217" s="157" t="s">
        <v>3792</v>
      </c>
      <c r="L1217" s="158" t="s">
        <v>3793</v>
      </c>
      <c r="M1217" s="158"/>
      <c r="N1217" s="158"/>
      <c r="O1217" s="158"/>
      <c r="P1217" s="158"/>
      <c r="Q1217" s="158"/>
      <c r="R1217" s="158"/>
      <c r="S1217" s="158"/>
      <c r="T1217" s="158"/>
    </row>
    <row r="1218">
      <c r="A1218" s="152"/>
      <c r="B1218" s="153"/>
      <c r="C1218" s="152"/>
      <c r="D1218" s="152"/>
      <c r="E1218" s="154">
        <v>6452.0</v>
      </c>
      <c r="F1218" s="152"/>
      <c r="G1218" s="155"/>
      <c r="H1218" s="153" t="s">
        <v>3794</v>
      </c>
      <c r="I1218" s="153" t="s">
        <v>167</v>
      </c>
      <c r="J1218" s="156">
        <v>1211.0</v>
      </c>
      <c r="K1218" s="157" t="s">
        <v>3795</v>
      </c>
      <c r="L1218" s="153" t="s">
        <v>3796</v>
      </c>
      <c r="M1218" s="153"/>
      <c r="N1218" s="153"/>
      <c r="O1218" s="153"/>
      <c r="P1218" s="153"/>
      <c r="Q1218" s="153"/>
      <c r="R1218" s="153"/>
      <c r="S1218" s="153"/>
      <c r="T1218" s="153"/>
    </row>
    <row r="1219">
      <c r="A1219" s="152"/>
      <c r="B1219" s="153"/>
      <c r="C1219" s="152"/>
      <c r="D1219" s="152"/>
      <c r="E1219" s="154">
        <v>6453.0</v>
      </c>
      <c r="F1219" s="152"/>
      <c r="G1219" s="155"/>
      <c r="H1219" s="153" t="s">
        <v>3797</v>
      </c>
      <c r="I1219" s="153" t="s">
        <v>1604</v>
      </c>
      <c r="J1219" s="156">
        <v>1212.0</v>
      </c>
      <c r="K1219" s="157" t="s">
        <v>3798</v>
      </c>
      <c r="L1219" s="153" t="s">
        <v>3799</v>
      </c>
      <c r="M1219" s="153"/>
      <c r="N1219" s="153"/>
      <c r="O1219" s="153"/>
      <c r="P1219" s="153"/>
      <c r="Q1219" s="153"/>
      <c r="R1219" s="153"/>
      <c r="S1219" s="153"/>
      <c r="T1219" s="153"/>
    </row>
    <row r="1220">
      <c r="A1220" s="152"/>
      <c r="B1220" s="153"/>
      <c r="C1220" s="152"/>
      <c r="D1220" s="152"/>
      <c r="E1220" s="154">
        <v>6454.0</v>
      </c>
      <c r="F1220" s="152"/>
      <c r="G1220" s="155"/>
      <c r="H1220" s="153" t="s">
        <v>3800</v>
      </c>
      <c r="I1220" s="153" t="s">
        <v>3801</v>
      </c>
      <c r="J1220" s="156">
        <v>1213.0</v>
      </c>
      <c r="K1220" s="157" t="s">
        <v>3802</v>
      </c>
      <c r="L1220" s="158" t="s">
        <v>3803</v>
      </c>
      <c r="M1220" s="158"/>
      <c r="N1220" s="158"/>
      <c r="O1220" s="158"/>
      <c r="P1220" s="158"/>
      <c r="Q1220" s="158"/>
      <c r="R1220" s="158"/>
      <c r="S1220" s="158"/>
      <c r="T1220" s="158"/>
    </row>
    <row r="1221">
      <c r="A1221" s="152"/>
      <c r="B1221" s="153"/>
      <c r="C1221" s="152"/>
      <c r="D1221" s="152"/>
      <c r="E1221" s="154">
        <v>6455.0</v>
      </c>
      <c r="F1221" s="152"/>
      <c r="G1221" s="155"/>
      <c r="H1221" s="153" t="s">
        <v>3804</v>
      </c>
      <c r="I1221" s="153" t="s">
        <v>2130</v>
      </c>
      <c r="J1221" s="156">
        <v>1214.0</v>
      </c>
      <c r="K1221" s="157" t="s">
        <v>3805</v>
      </c>
      <c r="L1221" s="153" t="s">
        <v>3806</v>
      </c>
      <c r="M1221" s="153"/>
      <c r="N1221" s="153"/>
      <c r="O1221" s="153"/>
      <c r="P1221" s="153"/>
      <c r="Q1221" s="153"/>
      <c r="R1221" s="153"/>
      <c r="S1221" s="153"/>
      <c r="T1221" s="153"/>
    </row>
    <row r="1222">
      <c r="A1222" s="152"/>
      <c r="B1222" s="153"/>
      <c r="C1222" s="152"/>
      <c r="D1222" s="152"/>
      <c r="E1222" s="154">
        <v>6456.0</v>
      </c>
      <c r="F1222" s="152"/>
      <c r="G1222" s="155"/>
      <c r="H1222" s="153" t="s">
        <v>3807</v>
      </c>
      <c r="I1222" s="153" t="s">
        <v>3808</v>
      </c>
      <c r="J1222" s="156">
        <v>1215.0</v>
      </c>
      <c r="K1222" s="157" t="s">
        <v>3809</v>
      </c>
      <c r="L1222" s="153" t="s">
        <v>3810</v>
      </c>
      <c r="M1222" s="153"/>
      <c r="N1222" s="153"/>
      <c r="O1222" s="153"/>
      <c r="P1222" s="153"/>
      <c r="Q1222" s="153"/>
      <c r="R1222" s="153"/>
      <c r="S1222" s="153"/>
      <c r="T1222" s="153"/>
    </row>
    <row r="1223">
      <c r="A1223" s="152"/>
      <c r="B1223" s="153"/>
      <c r="C1223" s="152"/>
      <c r="D1223" s="152"/>
      <c r="E1223" s="154">
        <v>6461.0</v>
      </c>
      <c r="F1223" s="152"/>
      <c r="G1223" s="155"/>
      <c r="H1223" s="153" t="s">
        <v>3811</v>
      </c>
      <c r="I1223" s="153" t="s">
        <v>3700</v>
      </c>
      <c r="J1223" s="156">
        <v>1216.0</v>
      </c>
      <c r="K1223" s="157" t="s">
        <v>3812</v>
      </c>
      <c r="L1223" s="153" t="s">
        <v>3813</v>
      </c>
      <c r="M1223" s="153"/>
      <c r="N1223" s="153"/>
      <c r="O1223" s="153"/>
      <c r="P1223" s="153"/>
      <c r="Q1223" s="153"/>
      <c r="R1223" s="153"/>
      <c r="S1223" s="153"/>
      <c r="T1223" s="153"/>
    </row>
    <row r="1224">
      <c r="A1224" s="152"/>
      <c r="B1224" s="153"/>
      <c r="C1224" s="152"/>
      <c r="D1224" s="152"/>
      <c r="E1224" s="154">
        <v>6462.0</v>
      </c>
      <c r="F1224" s="152"/>
      <c r="G1224" s="155"/>
      <c r="H1224" s="153" t="s">
        <v>3814</v>
      </c>
      <c r="I1224" s="153" t="s">
        <v>3700</v>
      </c>
      <c r="J1224" s="156">
        <v>1217.0</v>
      </c>
      <c r="K1224" s="157" t="s">
        <v>3815</v>
      </c>
      <c r="L1224" s="153" t="s">
        <v>3816</v>
      </c>
      <c r="M1224" s="153"/>
      <c r="N1224" s="153"/>
      <c r="O1224" s="153"/>
      <c r="P1224" s="153"/>
      <c r="Q1224" s="153"/>
      <c r="R1224" s="153"/>
      <c r="S1224" s="153"/>
      <c r="T1224" s="153"/>
    </row>
    <row r="1225">
      <c r="A1225" s="152"/>
      <c r="B1225" s="153"/>
      <c r="C1225" s="152"/>
      <c r="D1225" s="152"/>
      <c r="E1225" s="154">
        <v>6463.0</v>
      </c>
      <c r="F1225" s="152"/>
      <c r="G1225" s="155"/>
      <c r="H1225" s="153" t="s">
        <v>3817</v>
      </c>
      <c r="I1225" s="153" t="s">
        <v>246</v>
      </c>
      <c r="J1225" s="156">
        <v>1218.0</v>
      </c>
      <c r="K1225" s="157" t="s">
        <v>3818</v>
      </c>
      <c r="L1225" s="158" t="s">
        <v>3819</v>
      </c>
      <c r="M1225" s="158"/>
      <c r="N1225" s="158"/>
      <c r="O1225" s="158"/>
      <c r="P1225" s="158"/>
      <c r="Q1225" s="158"/>
      <c r="R1225" s="158"/>
      <c r="S1225" s="158"/>
      <c r="T1225" s="158"/>
    </row>
    <row r="1226">
      <c r="A1226" s="152"/>
      <c r="B1226" s="153"/>
      <c r="C1226" s="152"/>
      <c r="D1226" s="152"/>
      <c r="E1226" s="154">
        <v>6464.0</v>
      </c>
      <c r="F1226" s="152"/>
      <c r="G1226" s="155"/>
      <c r="H1226" s="153" t="s">
        <v>3820</v>
      </c>
      <c r="I1226" s="153" t="s">
        <v>3821</v>
      </c>
      <c r="J1226" s="156">
        <v>1219.0</v>
      </c>
      <c r="K1226" s="157" t="s">
        <v>3822</v>
      </c>
      <c r="L1226" s="153" t="s">
        <v>3823</v>
      </c>
      <c r="M1226" s="153"/>
      <c r="N1226" s="153"/>
      <c r="O1226" s="153"/>
      <c r="P1226" s="153"/>
      <c r="Q1226" s="153"/>
      <c r="R1226" s="153"/>
      <c r="S1226" s="153"/>
      <c r="T1226" s="153"/>
    </row>
    <row r="1227">
      <c r="A1227" s="152"/>
      <c r="B1227" s="153"/>
      <c r="C1227" s="152"/>
      <c r="D1227" s="152"/>
      <c r="E1227" s="154">
        <v>6465.0</v>
      </c>
      <c r="F1227" s="152"/>
      <c r="G1227" s="155"/>
      <c r="H1227" s="153" t="s">
        <v>3824</v>
      </c>
      <c r="I1227" s="153" t="s">
        <v>3821</v>
      </c>
      <c r="J1227" s="156">
        <v>1220.0</v>
      </c>
      <c r="K1227" s="157" t="s">
        <v>3825</v>
      </c>
      <c r="L1227" s="153" t="s">
        <v>3826</v>
      </c>
      <c r="M1227" s="153"/>
      <c r="N1227" s="153"/>
      <c r="O1227" s="153"/>
      <c r="P1227" s="153"/>
      <c r="Q1227" s="153"/>
      <c r="R1227" s="153"/>
      <c r="S1227" s="153"/>
      <c r="T1227" s="153"/>
    </row>
    <row r="1228">
      <c r="A1228" s="152"/>
      <c r="B1228" s="153"/>
      <c r="C1228" s="152"/>
      <c r="D1228" s="152"/>
      <c r="E1228" s="154">
        <v>6466.0</v>
      </c>
      <c r="F1228" s="152"/>
      <c r="G1228" s="155"/>
      <c r="H1228" s="153" t="s">
        <v>3827</v>
      </c>
      <c r="I1228" s="153" t="s">
        <v>3828</v>
      </c>
      <c r="J1228" s="156">
        <v>1221.0</v>
      </c>
      <c r="K1228" s="157" t="s">
        <v>3829</v>
      </c>
      <c r="L1228" s="153" t="s">
        <v>3830</v>
      </c>
      <c r="M1228" s="153"/>
      <c r="N1228" s="153"/>
      <c r="O1228" s="153"/>
      <c r="P1228" s="153"/>
      <c r="Q1228" s="153"/>
      <c r="R1228" s="153"/>
      <c r="S1228" s="153"/>
      <c r="T1228" s="153"/>
    </row>
    <row r="1229">
      <c r="A1229" s="152"/>
      <c r="B1229" s="153"/>
      <c r="C1229" s="152"/>
      <c r="D1229" s="152"/>
      <c r="E1229" s="154">
        <v>6511.0</v>
      </c>
      <c r="F1229" s="152"/>
      <c r="G1229" s="155"/>
      <c r="H1229" s="153" t="s">
        <v>3831</v>
      </c>
      <c r="I1229" s="153" t="s">
        <v>3821</v>
      </c>
      <c r="J1229" s="156">
        <v>1222.0</v>
      </c>
      <c r="K1229" s="157" t="s">
        <v>3832</v>
      </c>
      <c r="L1229" s="153" t="s">
        <v>3833</v>
      </c>
      <c r="M1229" s="153"/>
      <c r="N1229" s="153"/>
      <c r="O1229" s="153"/>
      <c r="P1229" s="153"/>
      <c r="Q1229" s="153"/>
      <c r="R1229" s="153"/>
      <c r="S1229" s="153"/>
      <c r="T1229" s="153"/>
    </row>
    <row r="1230">
      <c r="A1230" s="152"/>
      <c r="B1230" s="153"/>
      <c r="C1230" s="152"/>
      <c r="D1230" s="152"/>
      <c r="E1230" s="154">
        <v>6512.0</v>
      </c>
      <c r="F1230" s="152"/>
      <c r="G1230" s="155"/>
      <c r="H1230" s="153" t="s">
        <v>3834</v>
      </c>
      <c r="I1230" s="153" t="s">
        <v>2076</v>
      </c>
      <c r="J1230" s="156">
        <v>1223.0</v>
      </c>
      <c r="K1230" s="157" t="s">
        <v>3835</v>
      </c>
      <c r="L1230" s="153" t="s">
        <v>3836</v>
      </c>
      <c r="M1230" s="153"/>
      <c r="N1230" s="153"/>
      <c r="O1230" s="153"/>
      <c r="P1230" s="153"/>
      <c r="Q1230" s="153"/>
      <c r="R1230" s="153"/>
      <c r="S1230" s="153"/>
      <c r="T1230" s="153"/>
    </row>
    <row r="1231">
      <c r="A1231" s="152"/>
      <c r="B1231" s="153"/>
      <c r="C1231" s="152"/>
      <c r="D1231" s="152"/>
      <c r="E1231" s="154">
        <v>6513.0</v>
      </c>
      <c r="F1231" s="152"/>
      <c r="G1231" s="155"/>
      <c r="H1231" s="153" t="s">
        <v>3837</v>
      </c>
      <c r="I1231" s="153" t="s">
        <v>2076</v>
      </c>
      <c r="J1231" s="156">
        <v>1224.0</v>
      </c>
      <c r="K1231" s="157" t="s">
        <v>3838</v>
      </c>
      <c r="L1231" s="153" t="s">
        <v>3839</v>
      </c>
      <c r="M1231" s="153"/>
      <c r="N1231" s="153"/>
      <c r="O1231" s="153"/>
      <c r="P1231" s="153"/>
      <c r="Q1231" s="153"/>
      <c r="R1231" s="153"/>
      <c r="S1231" s="153"/>
      <c r="T1231" s="153"/>
    </row>
    <row r="1232">
      <c r="A1232" s="152"/>
      <c r="B1232" s="153"/>
      <c r="C1232" s="152"/>
      <c r="D1232" s="152"/>
      <c r="E1232" s="154">
        <v>6514.0</v>
      </c>
      <c r="F1232" s="152"/>
      <c r="G1232" s="155"/>
    </row>
    <row r="1233">
      <c r="A1233" s="152"/>
      <c r="B1233" s="153"/>
      <c r="C1233" s="152"/>
      <c r="D1233" s="152"/>
      <c r="E1233" s="154">
        <v>6515.0</v>
      </c>
      <c r="F1233" s="152"/>
      <c r="G1233" s="155"/>
      <c r="H1233" s="153"/>
      <c r="I1233" s="153"/>
      <c r="J1233" s="156"/>
      <c r="K1233" s="153"/>
      <c r="L1233" s="153"/>
      <c r="M1233" s="153"/>
      <c r="N1233" s="153"/>
      <c r="O1233" s="153"/>
      <c r="P1233" s="153"/>
      <c r="Q1233" s="153"/>
      <c r="R1233" s="153"/>
      <c r="S1233" s="153"/>
      <c r="T1233" s="153"/>
    </row>
    <row r="1234">
      <c r="A1234" s="152"/>
      <c r="B1234" s="153"/>
      <c r="C1234" s="152"/>
      <c r="D1234" s="152"/>
      <c r="E1234" s="154">
        <v>6516.0</v>
      </c>
      <c r="F1234" s="152"/>
      <c r="G1234" s="169"/>
      <c r="H1234" s="153"/>
      <c r="I1234" s="153"/>
      <c r="J1234" s="156"/>
      <c r="K1234" s="153"/>
      <c r="L1234" s="153"/>
      <c r="M1234" s="153"/>
      <c r="N1234" s="153"/>
      <c r="O1234" s="153"/>
      <c r="P1234" s="153"/>
      <c r="Q1234" s="153"/>
      <c r="R1234" s="153"/>
      <c r="S1234" s="153"/>
      <c r="T1234" s="153"/>
    </row>
    <row r="1235">
      <c r="A1235" s="152"/>
      <c r="B1235" s="153"/>
      <c r="C1235" s="152"/>
      <c r="D1235" s="152"/>
      <c r="E1235" s="154">
        <v>6521.0</v>
      </c>
      <c r="F1235" s="152"/>
      <c r="G1235" s="169"/>
      <c r="H1235" s="153"/>
      <c r="I1235" s="153"/>
      <c r="J1235" s="156"/>
      <c r="K1235" s="153"/>
      <c r="L1235" s="153"/>
      <c r="M1235" s="153"/>
      <c r="N1235" s="153"/>
      <c r="O1235" s="153"/>
      <c r="P1235" s="153"/>
      <c r="Q1235" s="153"/>
      <c r="R1235" s="153"/>
      <c r="S1235" s="153"/>
      <c r="T1235" s="153"/>
    </row>
    <row r="1236">
      <c r="A1236" s="152"/>
      <c r="B1236" s="153"/>
      <c r="C1236" s="152"/>
      <c r="D1236" s="152"/>
      <c r="E1236" s="154">
        <v>6522.0</v>
      </c>
      <c r="F1236" s="152"/>
      <c r="G1236" s="169"/>
      <c r="H1236" s="153"/>
      <c r="I1236" s="153"/>
      <c r="J1236" s="156"/>
      <c r="K1236" s="153"/>
      <c r="L1236" s="153"/>
      <c r="M1236" s="153"/>
      <c r="N1236" s="153"/>
      <c r="O1236" s="153"/>
      <c r="P1236" s="153"/>
      <c r="Q1236" s="153"/>
      <c r="R1236" s="153"/>
      <c r="S1236" s="153"/>
      <c r="T1236" s="153"/>
    </row>
    <row r="1237">
      <c r="A1237" s="152"/>
      <c r="B1237" s="153"/>
      <c r="C1237" s="152"/>
      <c r="D1237" s="152"/>
      <c r="E1237" s="154">
        <v>6523.0</v>
      </c>
      <c r="F1237" s="152"/>
      <c r="G1237" s="169"/>
      <c r="H1237" s="153"/>
      <c r="I1237" s="153"/>
      <c r="J1237" s="156"/>
      <c r="K1237" s="153"/>
      <c r="L1237" s="153"/>
      <c r="M1237" s="153"/>
      <c r="N1237" s="153"/>
      <c r="O1237" s="153"/>
      <c r="P1237" s="153"/>
      <c r="Q1237" s="153"/>
      <c r="R1237" s="153"/>
      <c r="S1237" s="153"/>
      <c r="T1237" s="153"/>
    </row>
    <row r="1238">
      <c r="A1238" s="152"/>
      <c r="B1238" s="153"/>
      <c r="C1238" s="152"/>
      <c r="D1238" s="152"/>
      <c r="E1238" s="154">
        <v>6524.0</v>
      </c>
      <c r="F1238" s="152"/>
      <c r="G1238" s="169"/>
      <c r="H1238" s="153"/>
      <c r="I1238" s="153"/>
      <c r="J1238" s="156"/>
      <c r="K1238" s="153"/>
      <c r="L1238" s="153"/>
      <c r="M1238" s="153"/>
      <c r="N1238" s="153"/>
      <c r="O1238" s="153"/>
      <c r="P1238" s="153"/>
      <c r="Q1238" s="153"/>
      <c r="R1238" s="153"/>
      <c r="S1238" s="153"/>
      <c r="T1238" s="153"/>
    </row>
    <row r="1239">
      <c r="A1239" s="152"/>
      <c r="B1239" s="153"/>
      <c r="C1239" s="152"/>
      <c r="D1239" s="152"/>
      <c r="E1239" s="154">
        <v>6525.0</v>
      </c>
      <c r="F1239" s="152"/>
      <c r="G1239" s="169"/>
      <c r="H1239" s="153"/>
      <c r="I1239" s="153"/>
      <c r="J1239" s="156"/>
      <c r="K1239" s="153"/>
      <c r="L1239" s="153"/>
      <c r="M1239" s="153"/>
      <c r="N1239" s="153"/>
      <c r="O1239" s="153"/>
      <c r="P1239" s="153"/>
      <c r="Q1239" s="153"/>
      <c r="R1239" s="153"/>
      <c r="S1239" s="153"/>
      <c r="T1239" s="153"/>
    </row>
    <row r="1240">
      <c r="A1240" s="152"/>
      <c r="B1240" s="153"/>
      <c r="C1240" s="152"/>
      <c r="D1240" s="152"/>
      <c r="E1240" s="154">
        <v>6526.0</v>
      </c>
      <c r="F1240" s="152"/>
      <c r="G1240" s="169"/>
      <c r="H1240" s="153"/>
      <c r="I1240" s="153"/>
      <c r="J1240" s="156"/>
      <c r="K1240" s="153"/>
      <c r="L1240" s="153"/>
      <c r="M1240" s="153"/>
      <c r="N1240" s="153"/>
      <c r="O1240" s="153"/>
      <c r="P1240" s="153"/>
      <c r="Q1240" s="153"/>
      <c r="R1240" s="153"/>
      <c r="S1240" s="153"/>
      <c r="T1240" s="153"/>
    </row>
    <row r="1241">
      <c r="A1241" s="152"/>
      <c r="B1241" s="153"/>
      <c r="C1241" s="152"/>
      <c r="D1241" s="152"/>
      <c r="E1241" s="154">
        <v>6531.0</v>
      </c>
      <c r="F1241" s="152"/>
      <c r="G1241" s="169"/>
      <c r="H1241" s="153"/>
      <c r="I1241" s="153"/>
      <c r="J1241" s="156"/>
      <c r="K1241" s="153"/>
      <c r="L1241" s="153"/>
      <c r="M1241" s="153"/>
      <c r="N1241" s="153"/>
      <c r="O1241" s="153"/>
      <c r="P1241" s="153"/>
      <c r="Q1241" s="153"/>
      <c r="R1241" s="153"/>
      <c r="S1241" s="153"/>
      <c r="T1241" s="153"/>
    </row>
    <row r="1242">
      <c r="A1242" s="152"/>
      <c r="B1242" s="153"/>
      <c r="C1242" s="152"/>
      <c r="D1242" s="152"/>
      <c r="E1242" s="154">
        <v>6532.0</v>
      </c>
      <c r="F1242" s="152"/>
      <c r="G1242" s="169"/>
      <c r="H1242" s="153"/>
      <c r="I1242" s="153"/>
      <c r="J1242" s="156"/>
      <c r="K1242" s="153"/>
      <c r="L1242" s="153"/>
      <c r="M1242" s="153"/>
      <c r="N1242" s="153"/>
      <c r="O1242" s="153"/>
      <c r="P1242" s="153"/>
      <c r="Q1242" s="153"/>
      <c r="R1242" s="153"/>
      <c r="S1242" s="153"/>
      <c r="T1242" s="153"/>
    </row>
    <row r="1243">
      <c r="A1243" s="152"/>
      <c r="B1243" s="153"/>
      <c r="C1243" s="152"/>
      <c r="D1243" s="152"/>
      <c r="E1243" s="154">
        <v>6533.0</v>
      </c>
      <c r="F1243" s="152"/>
      <c r="G1243" s="169"/>
      <c r="H1243" s="153"/>
      <c r="I1243" s="153"/>
      <c r="J1243" s="156"/>
      <c r="K1243" s="153"/>
      <c r="L1243" s="153"/>
      <c r="M1243" s="153"/>
      <c r="N1243" s="153"/>
      <c r="O1243" s="153"/>
      <c r="P1243" s="153"/>
      <c r="Q1243" s="153"/>
      <c r="R1243" s="153"/>
      <c r="S1243" s="153"/>
      <c r="T1243" s="153"/>
    </row>
    <row r="1244">
      <c r="A1244" s="152"/>
      <c r="B1244" s="153"/>
      <c r="C1244" s="152"/>
      <c r="D1244" s="152"/>
      <c r="E1244" s="154">
        <v>6534.0</v>
      </c>
      <c r="F1244" s="152"/>
      <c r="G1244" s="169"/>
      <c r="H1244" s="153"/>
      <c r="I1244" s="153"/>
      <c r="J1244" s="156"/>
      <c r="K1244" s="153"/>
      <c r="L1244" s="153"/>
      <c r="M1244" s="153"/>
      <c r="N1244" s="153"/>
      <c r="O1244" s="153"/>
      <c r="P1244" s="153"/>
      <c r="Q1244" s="153"/>
      <c r="R1244" s="153"/>
      <c r="S1244" s="153"/>
      <c r="T1244" s="153"/>
    </row>
    <row r="1245">
      <c r="A1245" s="152"/>
      <c r="B1245" s="153"/>
      <c r="C1245" s="152"/>
      <c r="D1245" s="152"/>
      <c r="E1245" s="154">
        <v>6535.0</v>
      </c>
      <c r="F1245" s="152"/>
      <c r="G1245" s="169"/>
      <c r="H1245" s="153"/>
      <c r="I1245" s="153"/>
      <c r="J1245" s="156"/>
      <c r="K1245" s="153"/>
      <c r="L1245" s="153"/>
      <c r="M1245" s="153"/>
      <c r="N1245" s="153"/>
      <c r="O1245" s="153"/>
      <c r="P1245" s="153"/>
      <c r="Q1245" s="153"/>
      <c r="R1245" s="153"/>
      <c r="S1245" s="153"/>
      <c r="T1245" s="153"/>
    </row>
    <row r="1246">
      <c r="A1246" s="152"/>
      <c r="B1246" s="153"/>
      <c r="C1246" s="152"/>
      <c r="D1246" s="152"/>
      <c r="E1246" s="154">
        <v>6536.0</v>
      </c>
      <c r="F1246" s="152"/>
      <c r="G1246" s="169"/>
      <c r="H1246" s="153"/>
      <c r="I1246" s="153"/>
      <c r="J1246" s="156"/>
      <c r="K1246" s="153"/>
      <c r="L1246" s="153"/>
      <c r="M1246" s="153"/>
      <c r="N1246" s="153"/>
      <c r="O1246" s="153"/>
      <c r="P1246" s="153"/>
      <c r="Q1246" s="153"/>
      <c r="R1246" s="153"/>
      <c r="S1246" s="153"/>
      <c r="T1246" s="153"/>
    </row>
    <row r="1247">
      <c r="A1247" s="152"/>
      <c r="B1247" s="153"/>
      <c r="C1247" s="152"/>
      <c r="D1247" s="152"/>
      <c r="E1247" s="154">
        <v>6541.0</v>
      </c>
      <c r="F1247" s="152"/>
      <c r="G1247" s="169"/>
      <c r="H1247" s="153"/>
      <c r="I1247" s="153"/>
      <c r="J1247" s="156"/>
      <c r="K1247" s="153"/>
      <c r="L1247" s="153"/>
      <c r="M1247" s="153"/>
      <c r="N1247" s="153"/>
      <c r="O1247" s="153"/>
      <c r="P1247" s="153"/>
      <c r="Q1247" s="153"/>
      <c r="R1247" s="153"/>
      <c r="S1247" s="153"/>
      <c r="T1247" s="153"/>
    </row>
    <row r="1248">
      <c r="A1248" s="152"/>
      <c r="B1248" s="153"/>
      <c r="C1248" s="152"/>
      <c r="D1248" s="152"/>
      <c r="E1248" s="154">
        <v>6542.0</v>
      </c>
      <c r="F1248" s="152"/>
      <c r="G1248" s="169"/>
      <c r="H1248" s="153"/>
      <c r="I1248" s="153"/>
      <c r="J1248" s="156"/>
      <c r="K1248" s="153"/>
      <c r="L1248" s="153"/>
      <c r="M1248" s="153"/>
      <c r="N1248" s="153"/>
      <c r="O1248" s="153"/>
      <c r="P1248" s="153"/>
      <c r="Q1248" s="153"/>
      <c r="R1248" s="153"/>
      <c r="S1248" s="153"/>
      <c r="T1248" s="153"/>
    </row>
    <row r="1249">
      <c r="A1249" s="152"/>
      <c r="B1249" s="153"/>
      <c r="C1249" s="152"/>
      <c r="D1249" s="152"/>
      <c r="E1249" s="154">
        <v>6543.0</v>
      </c>
      <c r="F1249" s="152"/>
      <c r="G1249" s="169"/>
      <c r="H1249" s="153"/>
      <c r="I1249" s="153"/>
      <c r="J1249" s="156"/>
      <c r="K1249" s="153"/>
      <c r="L1249" s="153"/>
      <c r="M1249" s="153"/>
      <c r="N1249" s="153"/>
      <c r="O1249" s="153"/>
      <c r="P1249" s="153"/>
      <c r="Q1249" s="153"/>
      <c r="R1249" s="153"/>
      <c r="S1249" s="153"/>
      <c r="T1249" s="153"/>
    </row>
    <row r="1250">
      <c r="A1250" s="152"/>
      <c r="B1250" s="153"/>
      <c r="C1250" s="152"/>
      <c r="D1250" s="152"/>
      <c r="E1250" s="154">
        <v>6544.0</v>
      </c>
      <c r="F1250" s="152"/>
      <c r="G1250" s="169"/>
      <c r="H1250" s="153"/>
      <c r="I1250" s="153"/>
      <c r="J1250" s="156"/>
      <c r="K1250" s="153"/>
      <c r="L1250" s="153"/>
      <c r="M1250" s="153"/>
      <c r="N1250" s="153"/>
      <c r="O1250" s="153"/>
      <c r="P1250" s="153"/>
      <c r="Q1250" s="153"/>
      <c r="R1250" s="153"/>
      <c r="S1250" s="153"/>
      <c r="T1250" s="153"/>
    </row>
    <row r="1251">
      <c r="A1251" s="152"/>
      <c r="B1251" s="153"/>
      <c r="C1251" s="152"/>
      <c r="D1251" s="152"/>
      <c r="E1251" s="154">
        <v>6545.0</v>
      </c>
      <c r="F1251" s="152"/>
      <c r="G1251" s="169"/>
      <c r="H1251" s="153"/>
      <c r="I1251" s="153"/>
      <c r="J1251" s="156"/>
      <c r="K1251" s="153"/>
      <c r="L1251" s="153"/>
      <c r="M1251" s="153"/>
      <c r="N1251" s="153"/>
      <c r="O1251" s="153"/>
      <c r="P1251" s="153"/>
      <c r="Q1251" s="153"/>
      <c r="R1251" s="153"/>
      <c r="S1251" s="153"/>
      <c r="T1251" s="153"/>
    </row>
    <row r="1252">
      <c r="A1252" s="152"/>
      <c r="B1252" s="153"/>
      <c r="C1252" s="152"/>
      <c r="D1252" s="152"/>
      <c r="E1252" s="154">
        <v>6546.0</v>
      </c>
      <c r="F1252" s="152"/>
      <c r="G1252" s="169"/>
      <c r="H1252" s="153"/>
      <c r="I1252" s="153"/>
      <c r="J1252" s="156"/>
      <c r="K1252" s="153"/>
      <c r="L1252" s="153"/>
      <c r="M1252" s="153"/>
      <c r="N1252" s="153"/>
      <c r="O1252" s="153"/>
      <c r="P1252" s="153"/>
      <c r="Q1252" s="153"/>
      <c r="R1252" s="153"/>
      <c r="S1252" s="153"/>
      <c r="T1252" s="153"/>
    </row>
    <row r="1253">
      <c r="A1253" s="152"/>
      <c r="B1253" s="153"/>
      <c r="C1253" s="152"/>
      <c r="D1253" s="152"/>
      <c r="E1253" s="154">
        <v>6551.0</v>
      </c>
      <c r="F1253" s="152"/>
      <c r="G1253" s="169"/>
      <c r="H1253" s="153"/>
      <c r="I1253" s="153"/>
      <c r="J1253" s="156"/>
      <c r="K1253" s="153"/>
      <c r="L1253" s="153"/>
      <c r="M1253" s="153"/>
      <c r="N1253" s="153"/>
      <c r="O1253" s="153"/>
      <c r="P1253" s="153"/>
      <c r="Q1253" s="153"/>
      <c r="R1253" s="153"/>
      <c r="S1253" s="153"/>
      <c r="T1253" s="153"/>
    </row>
    <row r="1254">
      <c r="A1254" s="152"/>
      <c r="B1254" s="153"/>
      <c r="C1254" s="152"/>
      <c r="D1254" s="152"/>
      <c r="E1254" s="154">
        <v>6552.0</v>
      </c>
      <c r="F1254" s="152"/>
      <c r="G1254" s="169"/>
      <c r="H1254" s="153"/>
      <c r="I1254" s="153"/>
      <c r="J1254" s="156"/>
      <c r="K1254" s="153"/>
      <c r="L1254" s="153"/>
      <c r="M1254" s="153"/>
      <c r="N1254" s="153"/>
      <c r="O1254" s="153"/>
      <c r="P1254" s="153"/>
      <c r="Q1254" s="153"/>
      <c r="R1254" s="153"/>
      <c r="S1254" s="153"/>
      <c r="T1254" s="153"/>
    </row>
    <row r="1255">
      <c r="A1255" s="152"/>
      <c r="B1255" s="153"/>
      <c r="C1255" s="152"/>
      <c r="D1255" s="152"/>
      <c r="E1255" s="154">
        <v>6553.0</v>
      </c>
      <c r="F1255" s="152"/>
      <c r="G1255" s="169"/>
      <c r="H1255" s="153"/>
      <c r="I1255" s="153"/>
      <c r="J1255" s="156"/>
      <c r="K1255" s="153"/>
      <c r="L1255" s="153"/>
      <c r="M1255" s="153"/>
      <c r="N1255" s="153"/>
      <c r="O1255" s="153"/>
      <c r="P1255" s="153"/>
      <c r="Q1255" s="153"/>
      <c r="R1255" s="153"/>
      <c r="S1255" s="153"/>
      <c r="T1255" s="153"/>
    </row>
    <row r="1256">
      <c r="A1256" s="152"/>
      <c r="B1256" s="153"/>
      <c r="C1256" s="152"/>
      <c r="D1256" s="152"/>
      <c r="E1256" s="154">
        <v>6554.0</v>
      </c>
      <c r="F1256" s="152"/>
      <c r="G1256" s="169"/>
      <c r="H1256" s="153"/>
      <c r="I1256" s="153"/>
      <c r="J1256" s="156"/>
      <c r="K1256" s="153"/>
      <c r="L1256" s="153"/>
      <c r="M1256" s="153"/>
      <c r="N1256" s="153"/>
      <c r="O1256" s="153"/>
      <c r="P1256" s="153"/>
      <c r="Q1256" s="153"/>
      <c r="R1256" s="153"/>
      <c r="S1256" s="153"/>
      <c r="T1256" s="153"/>
    </row>
    <row r="1257">
      <c r="A1257" s="152"/>
      <c r="B1257" s="153"/>
      <c r="C1257" s="152"/>
      <c r="D1257" s="152"/>
      <c r="E1257" s="154">
        <v>6555.0</v>
      </c>
      <c r="F1257" s="152"/>
      <c r="G1257" s="169"/>
      <c r="H1257" s="153"/>
      <c r="I1257" s="153"/>
      <c r="J1257" s="156"/>
      <c r="K1257" s="153"/>
      <c r="L1257" s="153"/>
      <c r="M1257" s="153"/>
      <c r="N1257" s="153"/>
      <c r="O1257" s="153"/>
      <c r="P1257" s="153"/>
      <c r="Q1257" s="153"/>
      <c r="R1257" s="153"/>
      <c r="S1257" s="153"/>
      <c r="T1257" s="153"/>
    </row>
    <row r="1258">
      <c r="A1258" s="152"/>
      <c r="B1258" s="153"/>
      <c r="C1258" s="152"/>
      <c r="D1258" s="152"/>
      <c r="E1258" s="154">
        <v>6556.0</v>
      </c>
      <c r="F1258" s="152"/>
      <c r="G1258" s="169"/>
      <c r="H1258" s="153"/>
      <c r="I1258" s="153"/>
      <c r="J1258" s="156"/>
      <c r="K1258" s="153"/>
      <c r="L1258" s="153"/>
      <c r="M1258" s="153"/>
      <c r="N1258" s="153"/>
      <c r="O1258" s="153"/>
      <c r="P1258" s="153"/>
      <c r="Q1258" s="153"/>
      <c r="R1258" s="153"/>
      <c r="S1258" s="153"/>
      <c r="T1258" s="153"/>
    </row>
    <row r="1259">
      <c r="A1259" s="152"/>
      <c r="B1259" s="153"/>
      <c r="C1259" s="152"/>
      <c r="D1259" s="152"/>
      <c r="E1259" s="154">
        <v>6561.0</v>
      </c>
      <c r="F1259" s="152"/>
      <c r="G1259" s="169"/>
      <c r="H1259" s="153"/>
      <c r="I1259" s="153"/>
      <c r="J1259" s="156"/>
      <c r="K1259" s="153"/>
      <c r="L1259" s="153"/>
      <c r="M1259" s="153"/>
      <c r="N1259" s="153"/>
      <c r="O1259" s="153"/>
      <c r="P1259" s="153"/>
      <c r="Q1259" s="153"/>
      <c r="R1259" s="153"/>
      <c r="S1259" s="153"/>
      <c r="T1259" s="153"/>
    </row>
    <row r="1260">
      <c r="A1260" s="152"/>
      <c r="B1260" s="153"/>
      <c r="C1260" s="152"/>
      <c r="D1260" s="152"/>
      <c r="E1260" s="154">
        <v>6562.0</v>
      </c>
      <c r="F1260" s="152"/>
      <c r="G1260" s="169"/>
      <c r="H1260" s="153"/>
      <c r="I1260" s="153"/>
      <c r="J1260" s="156"/>
      <c r="K1260" s="153"/>
      <c r="L1260" s="153"/>
      <c r="M1260" s="153"/>
      <c r="N1260" s="153"/>
      <c r="O1260" s="153"/>
      <c r="P1260" s="153"/>
      <c r="Q1260" s="153"/>
      <c r="R1260" s="153"/>
      <c r="S1260" s="153"/>
      <c r="T1260" s="153"/>
    </row>
    <row r="1261">
      <c r="A1261" s="152"/>
      <c r="B1261" s="153"/>
      <c r="C1261" s="152"/>
      <c r="D1261" s="152"/>
      <c r="E1261" s="154">
        <v>6563.0</v>
      </c>
      <c r="F1261" s="152"/>
      <c r="G1261" s="169"/>
      <c r="H1261" s="153"/>
      <c r="I1261" s="153"/>
      <c r="J1261" s="156"/>
      <c r="K1261" s="153"/>
      <c r="L1261" s="153"/>
      <c r="M1261" s="153"/>
      <c r="N1261" s="153"/>
      <c r="O1261" s="153"/>
      <c r="P1261" s="153"/>
      <c r="Q1261" s="153"/>
      <c r="R1261" s="153"/>
      <c r="S1261" s="153"/>
      <c r="T1261" s="153"/>
    </row>
    <row r="1262">
      <c r="A1262" s="152"/>
      <c r="B1262" s="153"/>
      <c r="C1262" s="152"/>
      <c r="D1262" s="152"/>
      <c r="E1262" s="154">
        <v>6564.0</v>
      </c>
      <c r="F1262" s="152"/>
      <c r="G1262" s="169"/>
      <c r="H1262" s="153"/>
      <c r="I1262" s="153"/>
      <c r="J1262" s="156"/>
      <c r="K1262" s="153"/>
      <c r="L1262" s="153"/>
      <c r="M1262" s="153"/>
      <c r="N1262" s="153"/>
      <c r="O1262" s="153"/>
      <c r="P1262" s="153"/>
      <c r="Q1262" s="153"/>
      <c r="R1262" s="153"/>
      <c r="S1262" s="153"/>
      <c r="T1262" s="153"/>
    </row>
    <row r="1263">
      <c r="A1263" s="152"/>
      <c r="B1263" s="153"/>
      <c r="C1263" s="152"/>
      <c r="D1263" s="152"/>
      <c r="E1263" s="154">
        <v>6565.0</v>
      </c>
      <c r="F1263" s="152"/>
      <c r="G1263" s="169"/>
      <c r="H1263" s="153"/>
      <c r="I1263" s="153"/>
      <c r="J1263" s="156"/>
      <c r="K1263" s="153"/>
      <c r="L1263" s="153"/>
      <c r="M1263" s="153"/>
      <c r="N1263" s="153"/>
      <c r="O1263" s="153"/>
      <c r="P1263" s="153"/>
      <c r="Q1263" s="153"/>
      <c r="R1263" s="153"/>
      <c r="S1263" s="153"/>
      <c r="T1263" s="153"/>
    </row>
    <row r="1264">
      <c r="A1264" s="152"/>
      <c r="B1264" s="153"/>
      <c r="C1264" s="152"/>
      <c r="D1264" s="152"/>
      <c r="E1264" s="154">
        <v>6566.0</v>
      </c>
      <c r="F1264" s="152"/>
      <c r="G1264" s="169"/>
      <c r="H1264" s="153"/>
      <c r="I1264" s="153"/>
      <c r="J1264" s="156"/>
      <c r="K1264" s="153"/>
      <c r="L1264" s="153"/>
      <c r="M1264" s="153"/>
      <c r="N1264" s="153"/>
      <c r="O1264" s="153"/>
      <c r="P1264" s="153"/>
      <c r="Q1264" s="153"/>
      <c r="R1264" s="153"/>
      <c r="S1264" s="153"/>
      <c r="T1264" s="153"/>
    </row>
    <row r="1265">
      <c r="A1265" s="152"/>
      <c r="B1265" s="153"/>
      <c r="C1265" s="152"/>
      <c r="D1265" s="152"/>
      <c r="E1265" s="154">
        <v>6611.0</v>
      </c>
      <c r="F1265" s="152"/>
      <c r="G1265" s="169"/>
      <c r="H1265" s="153"/>
      <c r="I1265" s="153"/>
      <c r="J1265" s="156"/>
      <c r="K1265" s="153"/>
      <c r="L1265" s="153"/>
      <c r="M1265" s="153"/>
      <c r="N1265" s="153"/>
      <c r="O1265" s="153"/>
      <c r="P1265" s="153"/>
      <c r="Q1265" s="153"/>
      <c r="R1265" s="153"/>
      <c r="S1265" s="153"/>
      <c r="T1265" s="153"/>
    </row>
    <row r="1266">
      <c r="A1266" s="152"/>
      <c r="B1266" s="153"/>
      <c r="C1266" s="152"/>
      <c r="D1266" s="152"/>
      <c r="E1266" s="154">
        <v>6612.0</v>
      </c>
      <c r="F1266" s="152"/>
      <c r="G1266" s="169"/>
      <c r="H1266" s="153"/>
      <c r="I1266" s="153"/>
      <c r="J1266" s="156"/>
      <c r="K1266" s="153"/>
      <c r="L1266" s="153"/>
      <c r="M1266" s="153"/>
      <c r="N1266" s="153"/>
      <c r="O1266" s="153"/>
      <c r="P1266" s="153"/>
      <c r="Q1266" s="153"/>
      <c r="R1266" s="153"/>
      <c r="S1266" s="153"/>
      <c r="T1266" s="153"/>
    </row>
    <row r="1267">
      <c r="A1267" s="152"/>
      <c r="B1267" s="153"/>
      <c r="C1267" s="152"/>
      <c r="D1267" s="152"/>
      <c r="E1267" s="154">
        <v>6613.0</v>
      </c>
      <c r="F1267" s="152"/>
      <c r="G1267" s="169"/>
      <c r="H1267" s="153"/>
      <c r="I1267" s="153"/>
      <c r="J1267" s="156"/>
      <c r="K1267" s="153"/>
      <c r="L1267" s="153"/>
      <c r="M1267" s="153"/>
      <c r="N1267" s="153"/>
      <c r="O1267" s="153"/>
      <c r="P1267" s="153"/>
      <c r="Q1267" s="153"/>
      <c r="R1267" s="153"/>
      <c r="S1267" s="153"/>
      <c r="T1267" s="153"/>
    </row>
    <row r="1268">
      <c r="A1268" s="152"/>
      <c r="B1268" s="153"/>
      <c r="C1268" s="152"/>
      <c r="D1268" s="152"/>
      <c r="E1268" s="154">
        <v>6614.0</v>
      </c>
      <c r="F1268" s="152"/>
      <c r="G1268" s="169"/>
      <c r="H1268" s="153"/>
      <c r="I1268" s="153"/>
      <c r="J1268" s="156"/>
      <c r="K1268" s="153"/>
      <c r="L1268" s="153"/>
      <c r="M1268" s="153"/>
      <c r="N1268" s="153"/>
      <c r="O1268" s="153"/>
      <c r="P1268" s="153"/>
      <c r="Q1268" s="153"/>
      <c r="R1268" s="153"/>
      <c r="S1268" s="153"/>
      <c r="T1268" s="153"/>
    </row>
    <row r="1269">
      <c r="A1269" s="152"/>
      <c r="B1269" s="153"/>
      <c r="C1269" s="152"/>
      <c r="D1269" s="152"/>
      <c r="E1269" s="154">
        <v>6615.0</v>
      </c>
      <c r="F1269" s="152"/>
      <c r="G1269" s="169"/>
      <c r="H1269" s="153"/>
      <c r="I1269" s="153"/>
      <c r="J1269" s="156"/>
      <c r="K1269" s="153"/>
      <c r="L1269" s="153"/>
      <c r="M1269" s="153"/>
      <c r="N1269" s="153"/>
      <c r="O1269" s="153"/>
      <c r="P1269" s="153"/>
      <c r="Q1269" s="153"/>
      <c r="R1269" s="153"/>
      <c r="S1269" s="153"/>
      <c r="T1269" s="153"/>
    </row>
    <row r="1270">
      <c r="A1270" s="152"/>
      <c r="B1270" s="153"/>
      <c r="C1270" s="152"/>
      <c r="D1270" s="152"/>
      <c r="E1270" s="154">
        <v>6616.0</v>
      </c>
      <c r="F1270" s="152"/>
      <c r="G1270" s="169"/>
      <c r="H1270" s="153"/>
      <c r="I1270" s="153"/>
      <c r="J1270" s="156"/>
      <c r="K1270" s="153"/>
      <c r="L1270" s="153"/>
      <c r="M1270" s="153"/>
      <c r="N1270" s="153"/>
      <c r="O1270" s="153"/>
      <c r="P1270" s="153"/>
      <c r="Q1270" s="153"/>
      <c r="R1270" s="153"/>
      <c r="S1270" s="153"/>
      <c r="T1270" s="153"/>
    </row>
    <row r="1271">
      <c r="A1271" s="152"/>
      <c r="B1271" s="153"/>
      <c r="C1271" s="152"/>
      <c r="D1271" s="152"/>
      <c r="E1271" s="154">
        <v>6621.0</v>
      </c>
      <c r="F1271" s="152"/>
      <c r="G1271" s="169"/>
      <c r="H1271" s="153"/>
      <c r="I1271" s="153"/>
      <c r="J1271" s="156"/>
      <c r="K1271" s="153"/>
      <c r="L1271" s="153"/>
      <c r="M1271" s="153"/>
      <c r="N1271" s="153"/>
      <c r="O1271" s="153"/>
      <c r="P1271" s="153"/>
      <c r="Q1271" s="153"/>
      <c r="R1271" s="153"/>
      <c r="S1271" s="153"/>
      <c r="T1271" s="153"/>
    </row>
    <row r="1272">
      <c r="A1272" s="152"/>
      <c r="B1272" s="153"/>
      <c r="C1272" s="152"/>
      <c r="D1272" s="152"/>
      <c r="E1272" s="154">
        <v>6622.0</v>
      </c>
      <c r="F1272" s=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"P1272" s="153"/>
      <c r="Q1272" s="153"/>
      <c r="R1272" s="153"/>
      <c r="S1272" s="153"/>
      <c r="T1272" s="153"/>
    </row>
    <row r="1273">
      <c r="A1273" s="152"/>
      <c r="B1273" s="153"/>
      <c r="C1273" s="152"/>
      <c r="D1273" s="152"/>
      <c r="E1273" s="154">
        <v>6623.0</v>
      </c>
      <c r="F1273" s="152"/>
      <c r="G1273" s="169"/>
      <c r="H1273" s="153"/>
      <c r="I1273" s="153"/>
      <c r="J1273" s="156"/>
      <c r="K1273" s="153"/>
      <c r="L1273" s="153"/>
      <c r="M1273" s="153"/>
      <c r="N1273" s="153"/>
      <c r="O1273" s="153"/>
      <c r="P1273" s="153"/>
      <c r="Q1273" s="153"/>
      <c r="R1273" s="153"/>
      <c r="S1273" s="153"/>
      <c r="T1273" s="153"/>
    </row>
    <row r="1274">
      <c r="A1274" s="152"/>
      <c r="B1274" s="153"/>
      <c r="C1274" s="152"/>
      <c r="D1274" s="152"/>
      <c r="E1274" s="154">
        <v>6624.0</v>
      </c>
      <c r="F1274" s="152"/>
      <c r="G1274" s="169"/>
      <c r="H1274" s="153"/>
      <c r="I1274" s="153"/>
      <c r="J1274" s="156"/>
      <c r="K1274" s="153"/>
      <c r="L1274" s="153"/>
      <c r="M1274" s="153"/>
      <c r="N1274" s="153"/>
      <c r="O1274" s="153"/>
      <c r="P1274" s="153"/>
      <c r="Q1274" s="153"/>
      <c r="R1274" s="153"/>
      <c r="S1274" s="153"/>
      <c r="T1274" s="153"/>
    </row>
    <row r="1275">
      <c r="A1275" s="152"/>
      <c r="B1275" s="153"/>
      <c r="C1275" s="152"/>
      <c r="D1275" s="152"/>
      <c r="E1275" s="154">
        <v>6625.0</v>
      </c>
      <c r="F1275" s="152"/>
      <c r="G1275" s="169"/>
      <c r="H1275" s="153"/>
      <c r="I1275" s="153"/>
      <c r="J1275" s="156"/>
      <c r="K1275" s="153"/>
      <c r="L1275" s="153"/>
      <c r="M1275" s="153"/>
      <c r="N1275" s="153"/>
      <c r="O1275" s="153"/>
      <c r="P1275" s="153"/>
      <c r="Q1275" s="153"/>
      <c r="R1275" s="153"/>
      <c r="S1275" s="153"/>
      <c r="T1275" s="153"/>
    </row>
    <row r="1276">
      <c r="A1276" s="152"/>
      <c r="B1276" s="153"/>
      <c r="C1276" s="152"/>
      <c r="D1276" s="152"/>
      <c r="E1276" s="154">
        <v>6626.0</v>
      </c>
      <c r="F1276" s="152"/>
      <c r="G1276" s="169"/>
      <c r="H1276" s="153"/>
      <c r="I1276" s="153"/>
      <c r="J1276" s="156"/>
      <c r="K1276" s="153"/>
      <c r="L1276" s="153"/>
      <c r="M1276" s="153"/>
      <c r="N1276" s="153"/>
      <c r="O1276" s="153"/>
      <c r="P1276" s="153"/>
      <c r="Q1276" s="153"/>
      <c r="R1276" s="153"/>
      <c r="S1276" s="153"/>
      <c r="T1276" s="153"/>
    </row>
    <row r="1277">
      <c r="A1277" s="152"/>
      <c r="B1277" s="153"/>
      <c r="C1277" s="152"/>
      <c r="D1277" s="152"/>
      <c r="E1277" s="154">
        <v>6631.0</v>
      </c>
      <c r="F1277" s="152"/>
      <c r="G1277" s="169"/>
      <c r="H1277" s="153"/>
      <c r="I1277" s="153"/>
      <c r="J1277" s="156"/>
      <c r="K1277" s="153"/>
      <c r="L1277" s="153"/>
      <c r="M1277" s="153"/>
      <c r="N1277" s="153"/>
      <c r="O1277" s="153"/>
      <c r="P1277" s="153"/>
      <c r="Q1277" s="153"/>
      <c r="R1277" s="153"/>
      <c r="S1277" s="153"/>
      <c r="T1277" s="153"/>
    </row>
    <row r="1278">
      <c r="A1278" s="152"/>
      <c r="B1278" s="153"/>
      <c r="C1278" s="152"/>
      <c r="D1278" s="152"/>
      <c r="E1278" s="154">
        <v>6632.0</v>
      </c>
      <c r="F1278" s="152"/>
      <c r="G1278" s="169"/>
      <c r="H1278" s="153"/>
      <c r="I1278" s="153"/>
      <c r="J1278" s="156"/>
      <c r="K1278" s="153"/>
      <c r="L1278" s="153"/>
      <c r="M1278" s="153"/>
      <c r="N1278" s="153"/>
      <c r="O1278" s="153"/>
      <c r="P1278" s="153"/>
      <c r="Q1278" s="153"/>
      <c r="R1278" s="153"/>
      <c r="S1278" s="153"/>
      <c r="T1278" s="153"/>
    </row>
    <row r="1279">
      <c r="A1279" s="152"/>
      <c r="B1279" s="153"/>
      <c r="C1279" s="152"/>
      <c r="D1279" s="152"/>
      <c r="E1279" s="154">
        <v>6633.0</v>
      </c>
      <c r="F1279" s="152"/>
      <c r="G1279" s="169"/>
      <c r="H1279" s="153"/>
      <c r="I1279" s="153"/>
      <c r="J1279" s="156"/>
      <c r="K1279" s="153"/>
      <c r="L1279" s="153"/>
      <c r="M1279" s="153"/>
      <c r="N1279" s="153"/>
      <c r="O1279" s="153"/>
      <c r="P1279" s="153"/>
      <c r="Q1279" s="153"/>
      <c r="R1279" s="153"/>
      <c r="S1279" s="153"/>
      <c r="T1279" s="153"/>
    </row>
    <row r="1280">
      <c r="A1280" s="152"/>
      <c r="B1280" s="153"/>
      <c r="C1280" s="152"/>
      <c r="D1280" s="152"/>
      <c r="E1280" s="154">
        <v>6634.0</v>
      </c>
      <c r="F1280" s="152"/>
      <c r="G1280" s="169"/>
      <c r="H1280" s="153"/>
      <c r="I1280" s="153"/>
      <c r="J1280" s="156"/>
      <c r="K1280" s="153"/>
      <c r="L1280" s="153"/>
      <c r="M1280" s="153"/>
      <c r="N1280" s="153"/>
      <c r="O1280" s="153"/>
      <c r="P1280" s="153"/>
      <c r="Q1280" s="153"/>
      <c r="R1280" s="153"/>
      <c r="S1280" s="153"/>
      <c r="T1280" s="153"/>
    </row>
    <row r="1281">
      <c r="A1281" s="152"/>
      <c r="B1281" s="153"/>
      <c r="C1281" s="152"/>
      <c r="D1281" s="152"/>
      <c r="E1281" s="154">
        <v>6635.0</v>
      </c>
      <c r="F1281" s="152"/>
      <c r="G1281" s="169"/>
      <c r="H1281" s="153"/>
      <c r="I1281" s="153"/>
      <c r="J1281" s="156"/>
      <c r="K1281" s="153"/>
      <c r="L1281" s="153"/>
      <c r="M1281" s="153"/>
      <c r="N1281" s="153"/>
      <c r="O1281" s="153"/>
      <c r="P1281" s="153"/>
      <c r="Q1281" s="153"/>
      <c r="R1281" s="153"/>
      <c r="S1281" s="153"/>
      <c r="T1281" s="153"/>
    </row>
    <row r="1282">
      <c r="A1282" s="152"/>
      <c r="B1282" s="153"/>
      <c r="C1282" s="152"/>
      <c r="D1282" s="152"/>
      <c r="E1282" s="154">
        <v>6636.0</v>
      </c>
      <c r="F1282" s="152"/>
      <c r="G1282" s="169"/>
      <c r="H1282" s="153"/>
      <c r="I1282" s="153"/>
      <c r="J1282" s="156"/>
      <c r="K1282" s="153"/>
      <c r="L1282" s="153"/>
      <c r="M1282" s="153"/>
      <c r="N1282" s="153"/>
      <c r="O1282" s="153"/>
      <c r="P1282" s="153"/>
      <c r="Q1282" s="153"/>
      <c r="R1282" s="153"/>
      <c r="S1282" s="153"/>
      <c r="T1282" s="153"/>
    </row>
    <row r="1283">
      <c r="A1283" s="152"/>
      <c r="B1283" s="153"/>
      <c r="C1283" s="152"/>
      <c r="D1283" s="152"/>
      <c r="E1283" s="154">
        <v>6641.0</v>
      </c>
      <c r="F1283" s="152"/>
      <c r="G1283" s="169"/>
      <c r="H1283" s="153"/>
      <c r="I1283" s="153"/>
      <c r="J1283" s="156"/>
      <c r="K1283" s="153"/>
      <c r="L1283" s="153"/>
      <c r="M1283" s="153"/>
      <c r="N1283" s="153"/>
      <c r="O1283" s="153"/>
      <c r="P1283" s="153"/>
      <c r="Q1283" s="153"/>
      <c r="R1283" s="153"/>
      <c r="S1283" s="153"/>
      <c r="T1283" s="153"/>
    </row>
    <row r="1284">
      <c r="A1284" s="152"/>
      <c r="B1284" s="153"/>
      <c r="C1284" s="152"/>
      <c r="D1284" s="152"/>
      <c r="E1284" s="154">
        <v>6642.0</v>
      </c>
      <c r="F1284" s="152"/>
      <c r="G1284" s="169"/>
      <c r="H1284" s="153"/>
      <c r="I1284" s="153"/>
      <c r="J1284" s="156"/>
      <c r="K1284" s="153"/>
      <c r="L1284" s="153"/>
      <c r="M1284" s="153"/>
      <c r="N1284" s="153"/>
      <c r="O1284" s="153"/>
      <c r="P1284" s="153"/>
      <c r="Q1284" s="153"/>
      <c r="R1284" s="153"/>
      <c r="S1284" s="153"/>
      <c r="T1284" s="153"/>
    </row>
    <row r="1285">
      <c r="A1285" s="152"/>
      <c r="B1285" s="153"/>
      <c r="C1285" s="152"/>
      <c r="D1285" s="152"/>
      <c r="E1285" s="154">
        <v>6643.0</v>
      </c>
      <c r="F1285" s="152"/>
      <c r="G1285" s="169"/>
      <c r="H1285" s="153"/>
      <c r="I1285" s="153"/>
      <c r="J1285" s="156"/>
      <c r="K1285" s="153"/>
      <c r="L1285" s="153"/>
      <c r="M1285" s="153"/>
      <c r="N1285" s="153"/>
      <c r="O1285" s="153"/>
      <c r="P1285" s="153"/>
      <c r="Q1285" s="153"/>
      <c r="R1285" s="153"/>
      <c r="S1285" s="153"/>
      <c r="T1285" s="153"/>
    </row>
    <row r="1286">
      <c r="A1286" s="152"/>
      <c r="B1286" s="153"/>
      <c r="C1286" s="152"/>
      <c r="D1286" s="152"/>
      <c r="E1286" s="154">
        <v>6644.0</v>
      </c>
      <c r="F1286" s="152"/>
      <c r="G1286" s="169"/>
      <c r="H1286" s="153"/>
      <c r="I1286" s="153"/>
      <c r="J1286" s="156"/>
      <c r="K1286" s="153"/>
      <c r="L1286" s="153"/>
      <c r="M1286" s="153"/>
      <c r="N1286" s="153"/>
      <c r="O1286" s="153"/>
      <c r="P1286" s="153"/>
      <c r="Q1286" s="153"/>
      <c r="R1286" s="153"/>
      <c r="S1286" s="153"/>
      <c r="T1286" s="153"/>
    </row>
    <row r="1287">
      <c r="A1287" s="152"/>
      <c r="B1287" s="153"/>
      <c r="C1287" s="152"/>
      <c r="D1287" s="152"/>
      <c r="E1287" s="154">
        <v>6645.0</v>
      </c>
      <c r="F1287" s="152"/>
      <c r="G1287" s="169"/>
      <c r="H1287" s="153"/>
      <c r="I1287" s="153"/>
      <c r="J1287" s="156"/>
      <c r="K1287" s="153"/>
      <c r="L1287" s="153"/>
      <c r="M1287" s="153"/>
      <c r="N1287" s="153"/>
      <c r="O1287" s="153"/>
      <c r="P1287" s="153"/>
      <c r="Q1287" s="153"/>
      <c r="R1287" s="153"/>
      <c r="S1287" s="153"/>
      <c r="T1287" s="153"/>
    </row>
    <row r="1288">
      <c r="A1288" s="152"/>
      <c r="B1288" s="153"/>
      <c r="C1288" s="152"/>
      <c r="D1288" s="152"/>
      <c r="E1288" s="154">
        <v>6646.0</v>
      </c>
      <c r="F1288" s="152"/>
      <c r="G1288" s="169"/>
      <c r="H1288" s="153"/>
      <c r="I1288" s="153"/>
      <c r="J1288" s="156"/>
      <c r="K1288" s="153"/>
      <c r="L1288" s="153"/>
      <c r="M1288" s="153"/>
      <c r="N1288" s="153"/>
      <c r="O1288" s="153"/>
      <c r="P1288" s="153"/>
      <c r="Q1288" s="153"/>
      <c r="R1288" s="153"/>
      <c r="S1288" s="153"/>
      <c r="T1288" s="153"/>
    </row>
    <row r="1289">
      <c r="A1289" s="152"/>
      <c r="B1289" s="153"/>
      <c r="C1289" s="152"/>
      <c r="D1289" s="152"/>
      <c r="E1289" s="154">
        <v>6651.0</v>
      </c>
      <c r="F1289" s="152"/>
      <c r="G1289" s="169"/>
      <c r="H1289" s="153"/>
      <c r="I1289" s="153"/>
      <c r="J1289" s="156"/>
      <c r="K1289" s="153"/>
      <c r="L1289" s="153"/>
      <c r="M1289" s="153"/>
      <c r="N1289" s="153"/>
      <c r="O1289" s="153"/>
      <c r="P1289" s="153"/>
      <c r="Q1289" s="153"/>
      <c r="R1289" s="153"/>
      <c r="S1289" s="153"/>
      <c r="T1289" s="153"/>
    </row>
    <row r="1290">
      <c r="A1290" s="152"/>
      <c r="B1290" s="153"/>
      <c r="C1290" s="152"/>
      <c r="D1290" s="152"/>
      <c r="E1290" s="154">
        <v>6652.0</v>
      </c>
      <c r="F1290" s="152"/>
      <c r="G1290" s="169"/>
      <c r="H1290" s="153"/>
      <c r="I1290" s="153"/>
      <c r="J1290" s="156"/>
      <c r="K1290" s="153"/>
      <c r="L1290" s="153"/>
      <c r="M1290" s="153"/>
      <c r="N1290" s="153"/>
      <c r="O1290" s="153"/>
      <c r="P1290" s="153"/>
      <c r="Q1290" s="153"/>
      <c r="R1290" s="153"/>
      <c r="S1290" s="153"/>
      <c r="T1290" s="153"/>
    </row>
    <row r="1291">
      <c r="A1291" s="152"/>
      <c r="B1291" s="153"/>
      <c r="C1291" s="152"/>
      <c r="D1291" s="152"/>
      <c r="E1291" s="154">
        <v>6653.0</v>
      </c>
      <c r="F1291" s="152"/>
      <c r="G1291" s="169"/>
      <c r="H1291" s="153"/>
      <c r="I1291" s="153"/>
      <c r="J1291" s="156"/>
      <c r="K1291" s="153"/>
      <c r="L1291" s="153"/>
      <c r="M1291" s="153"/>
      <c r="N1291" s="153"/>
      <c r="O1291" s="153"/>
      <c r="P1291" s="153"/>
      <c r="Q1291" s="153"/>
      <c r="R1291" s="153"/>
      <c r="S1291" s="153"/>
      <c r="T1291" s="153"/>
    </row>
    <row r="1292">
      <c r="A1292" s="152"/>
      <c r="B1292" s="153"/>
      <c r="C1292" s="152"/>
      <c r="D1292" s="152"/>
      <c r="E1292" s="154">
        <v>6654.0</v>
      </c>
      <c r="F1292" s="152"/>
      <c r="G1292" s="169"/>
      <c r="H1292" s="153"/>
      <c r="I1292" s="153"/>
      <c r="J1292" s="156"/>
      <c r="K1292" s="153"/>
      <c r="L1292" s="153"/>
      <c r="M1292" s="153"/>
      <c r="N1292" s="153"/>
      <c r="O1292" s="153"/>
      <c r="P1292" s="153"/>
      <c r="Q1292" s="153"/>
      <c r="R1292" s="153"/>
      <c r="S1292" s="153"/>
      <c r="T1292" s="153"/>
    </row>
    <row r="1293">
      <c r="A1293" s="152"/>
      <c r="B1293" s="153"/>
      <c r="C1293" s="152"/>
      <c r="D1293" s="152"/>
      <c r="E1293" s="154">
        <v>6655.0</v>
      </c>
      <c r="F1293" s="152"/>
      <c r="G1293" s="169"/>
      <c r="H1293" s="153"/>
      <c r="I1293" s="153"/>
      <c r="J1293" s="156"/>
      <c r="K1293" s="153"/>
      <c r="L1293" s="153"/>
      <c r="M1293" s="153"/>
      <c r="N1293" s="153"/>
      <c r="O1293" s="153"/>
      <c r="P1293" s="153"/>
      <c r="Q1293" s="153"/>
      <c r="R1293" s="153"/>
      <c r="S1293" s="153"/>
      <c r="T1293" s="153"/>
    </row>
    <row r="1294">
      <c r="A1294" s="152"/>
      <c r="B1294" s="153"/>
      <c r="C1294" s="152"/>
      <c r="D1294" s="152"/>
      <c r="E1294" s="154">
        <v>6656.0</v>
      </c>
      <c r="F1294" s="152"/>
      <c r="G1294" s="169"/>
      <c r="H1294" s="153"/>
      <c r="I1294" s="153"/>
      <c r="J1294" s="156"/>
      <c r="K1294" s="153"/>
      <c r="L1294" s="153"/>
      <c r="M1294" s="153"/>
      <c r="N1294" s="153"/>
      <c r="O1294" s="153"/>
      <c r="P1294" s="153"/>
      <c r="Q1294" s="153"/>
      <c r="R1294" s="153"/>
      <c r="S1294" s="153"/>
      <c r="T1294" s="153"/>
    </row>
    <row r="1295">
      <c r="A1295" s="152"/>
      <c r="B1295" s="153"/>
      <c r="C1295" s="152"/>
      <c r="D1295" s="152"/>
      <c r="E1295" s="154">
        <v>6661.0</v>
      </c>
      <c r="F1295" s="152"/>
      <c r="G1295" s="169"/>
      <c r="H1295" s="153"/>
      <c r="I1295" s="153"/>
      <c r="J1295" s="156"/>
      <c r="K1295" s="153"/>
      <c r="L1295" s="153"/>
      <c r="M1295" s="153"/>
      <c r="N1295" s="153"/>
      <c r="O1295" s="153"/>
      <c r="P1295" s="153"/>
      <c r="Q1295" s="153"/>
      <c r="R1295" s="153"/>
      <c r="S1295" s="153"/>
      <c r="T1295" s="153"/>
    </row>
    <row r="1296">
      <c r="A1296" s="152"/>
      <c r="B1296" s="153"/>
      <c r="C1296" s="152"/>
      <c r="D1296" s="152"/>
      <c r="E1296" s="154">
        <v>6662.0</v>
      </c>
      <c r="F1296" s="152"/>
      <c r="G1296" s="169"/>
      <c r="H1296" s="153"/>
      <c r="I1296" s="153"/>
      <c r="J1296" s="156"/>
      <c r="K1296" s="153"/>
      <c r="L1296" s="153"/>
      <c r="M1296" s="153"/>
      <c r="N1296" s="153"/>
      <c r="O1296" s="153"/>
      <c r="P1296" s="153"/>
      <c r="Q1296" s="153"/>
      <c r="R1296" s="153"/>
      <c r="S1296" s="153"/>
      <c r="T1296" s="153"/>
    </row>
    <row r="1297">
      <c r="A1297" s="152"/>
      <c r="B1297" s="153"/>
      <c r="C1297" s="152"/>
      <c r="D1297" s="152"/>
      <c r="E1297" s="154">
        <v>6663.0</v>
      </c>
      <c r="F1297" s="152"/>
      <c r="G1297" s="169"/>
      <c r="H1297" s="153"/>
      <c r="I1297" s="153"/>
      <c r="J1297" s="156"/>
      <c r="K1297" s="153"/>
      <c r="L1297" s="153"/>
      <c r="M1297" s="153"/>
      <c r="N1297" s="153"/>
      <c r="O1297" s="153"/>
      <c r="P1297" s="153"/>
      <c r="Q1297" s="153"/>
      <c r="R1297" s="153"/>
      <c r="S1297" s="153"/>
      <c r="T1297" s="153"/>
    </row>
    <row r="1298">
      <c r="A1298" s="152"/>
      <c r="B1298" s="153"/>
      <c r="C1298" s="152"/>
      <c r="D1298" s="152"/>
      <c r="E1298" s="154">
        <v>6664.0</v>
      </c>
      <c r="F1298" s="152"/>
      <c r="G1298" s="169"/>
      <c r="H1298" s="153"/>
      <c r="I1298" s="153"/>
      <c r="J1298" s="156"/>
      <c r="K1298" s="153"/>
      <c r="L1298" s="153"/>
      <c r="M1298" s="153"/>
      <c r="N1298" s="153"/>
      <c r="O1298" s="153"/>
      <c r="P1298" s="153"/>
      <c r="Q1298" s="153"/>
      <c r="R1298" s="153"/>
      <c r="S1298" s="153"/>
      <c r="T1298" s="153"/>
    </row>
    <row r="1299">
      <c r="A1299" s="152"/>
      <c r="B1299" s="153"/>
      <c r="C1299" s="152"/>
      <c r="D1299" s="152"/>
      <c r="E1299" s="154">
        <v>6665.0</v>
      </c>
      <c r="F1299" s="152"/>
      <c r="G1299" s="169"/>
      <c r="H1299" s="153"/>
      <c r="I1299" s="153"/>
      <c r="J1299" s="156"/>
      <c r="K1299" s="153"/>
      <c r="L1299" s="153"/>
      <c r="M1299" s="153"/>
      <c r="N1299" s="153"/>
      <c r="O1299" s="153"/>
      <c r="P1299" s="153"/>
      <c r="Q1299" s="153"/>
      <c r="R1299" s="153"/>
      <c r="S1299" s="153"/>
      <c r="T1299" s="153"/>
    </row>
    <row r="1300">
      <c r="A1300" s="152"/>
      <c r="B1300" s="153"/>
      <c r="C1300" s="152"/>
      <c r="D1300" s="152"/>
      <c r="E1300" s="154">
        <v>6666.0</v>
      </c>
      <c r="F1300" s="152"/>
      <c r="G1300" s="169"/>
      <c r="H1300" s="153"/>
      <c r="I1300" s="153"/>
      <c r="J1300" s="156"/>
      <c r="K1300" s="153"/>
      <c r="L1300" s="153"/>
      <c r="M1300" s="153"/>
      <c r="N1300" s="153"/>
      <c r="O1300" s="153"/>
      <c r="P1300" s="153"/>
      <c r="Q1300" s="153"/>
      <c r="R1300" s="153"/>
      <c r="S1300" s="153"/>
      <c r="T1300" s="153"/>
    </row>
  </sheetData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2"/>
    <hyperlink r:id="rId31" ref="K33"/>
    <hyperlink r:id="rId32" ref="K34"/>
    <hyperlink r:id="rId33" ref="K35"/>
    <hyperlink r:id="rId34" ref="K36"/>
    <hyperlink r:id="rId35" ref="K37"/>
    <hyperlink r:id="rId36" ref="K38"/>
    <hyperlink r:id="rId37" ref="K39"/>
    <hyperlink r:id="rId38" ref="K40"/>
    <hyperlink r:id="rId39" ref="K41"/>
    <hyperlink r:id="rId40" ref="K42"/>
    <hyperlink r:id="rId41" ref="K43"/>
    <hyperlink r:id="rId42" ref="K44"/>
    <hyperlink r:id="rId43" ref="K45"/>
    <hyperlink r:id="rId44" ref="K46"/>
    <hyperlink r:id="rId45" ref="K47"/>
    <hyperlink r:id="rId46" ref="K48"/>
    <hyperlink r:id="rId47" ref="K49"/>
    <hyperlink r:id="rId48" ref="K50"/>
    <hyperlink r:id="rId49" ref="K51"/>
    <hyperlink r:id="rId50" ref="K52"/>
    <hyperlink r:id="rId51" ref="K53"/>
    <hyperlink r:id="rId52" ref="K54"/>
    <hyperlink r:id="rId53" ref="K55"/>
    <hyperlink r:id="rId54" ref="K56"/>
    <hyperlink r:id="rId55" ref="K57"/>
    <hyperlink r:id="rId56" ref="K58"/>
    <hyperlink r:id="rId57" ref="K59"/>
    <hyperlink r:id="rId58" ref="K60"/>
    <hyperlink r:id="rId59" ref="K61"/>
    <hyperlink r:id="rId60" ref="K62"/>
    <hyperlink r:id="rId61" ref="K63"/>
    <hyperlink r:id="rId62" ref="K64"/>
    <hyperlink r:id="rId63" ref="K65"/>
    <hyperlink r:id="rId64" ref="K66"/>
    <hyperlink r:id="rId65" ref="K67"/>
    <hyperlink r:id="rId66" ref="K68"/>
    <hyperlink r:id="rId67" ref="K69"/>
    <hyperlink r:id="rId68" ref="K70"/>
    <hyperlink r:id="rId69" ref="K71"/>
    <hyperlink r:id="rId70" ref="K72"/>
    <hyperlink r:id="rId71" ref="K73"/>
    <hyperlink r:id="rId72" ref="K74"/>
    <hyperlink r:id="rId73" ref="K75"/>
    <hyperlink r:id="rId74" ref="K76"/>
    <hyperlink r:id="rId75" ref="K77"/>
    <hyperlink r:id="rId76" ref="K78"/>
    <hyperlink r:id="rId77" ref="K79"/>
    <hyperlink r:id="rId78" ref="K80"/>
    <hyperlink r:id="rId79" ref="K81"/>
    <hyperlink r:id="rId80" ref="K82"/>
    <hyperlink r:id="rId81" ref="K83"/>
    <hyperlink r:id="rId82" ref="K84"/>
    <hyperlink r:id="rId83" ref="K85"/>
    <hyperlink r:id="rId84" ref="K86"/>
    <hyperlink r:id="rId85" ref="K87"/>
    <hyperlink r:id="rId86" ref="K88"/>
    <hyperlink r:id="rId87" ref="K89"/>
    <hyperlink r:id="rId88" ref="K90"/>
    <hyperlink r:id="rId89" ref="K91"/>
    <hyperlink r:id="rId90" ref="K92"/>
    <hyperlink r:id="rId91" ref="K93"/>
    <hyperlink r:id="rId92" ref="K94"/>
    <hyperlink r:id="rId93" ref="K95"/>
    <hyperlink r:id="rId94" ref="K96"/>
    <hyperlink r:id="rId95" ref="K97"/>
    <hyperlink r:id="rId96" ref="K98"/>
    <hyperlink r:id="rId97" ref="K99"/>
    <hyperlink r:id="rId98" ref="K100"/>
    <hyperlink r:id="rId99" ref="K101"/>
    <hyperlink r:id="rId100" ref="K102"/>
    <hyperlink r:id="rId101" ref="K103"/>
    <hyperlink r:id="rId102" ref="K104"/>
    <hyperlink r:id="rId103" ref="K105"/>
    <hyperlink r:id="rId104" ref="K106"/>
    <hyperlink r:id="rId105" ref="K107"/>
    <hyperlink r:id="rId106" ref="K108"/>
    <hyperlink r:id="rId107" ref="K109"/>
    <hyperlink r:id="rId108" ref="K110"/>
    <hyperlink r:id="rId109" ref="K111"/>
    <hyperlink r:id="rId110" ref="K112"/>
    <hyperlink r:id="rId111" ref="K113"/>
    <hyperlink r:id="rId112" ref="K114"/>
    <hyperlink r:id="rId113" ref="K115"/>
    <hyperlink r:id="rId114" ref="K116"/>
    <hyperlink r:id="rId115" ref="K117"/>
    <hyperlink r:id="rId116" ref="K118"/>
    <hyperlink r:id="rId117" ref="K119"/>
    <hyperlink r:id="rId118" ref="K120"/>
    <hyperlink r:id="rId119" ref="K121"/>
    <hyperlink r:id="rId120" ref="K122"/>
    <hyperlink r:id="rId121" ref="K123"/>
    <hyperlink r:id="rId122" ref="K124"/>
    <hyperlink r:id="rId123" ref="K125"/>
    <hyperlink r:id="rId124" ref="K126"/>
    <hyperlink r:id="rId125" ref="K127"/>
    <hyperlink r:id="rId126" ref="K128"/>
    <hyperlink r:id="rId127" ref="K129"/>
    <hyperlink r:id="rId128" ref="K130"/>
    <hyperlink r:id="rId129" ref="K131"/>
    <hyperlink r:id="rId130" ref="K132"/>
    <hyperlink r:id="rId131" ref="K133"/>
    <hyperlink r:id="rId132" ref="K134"/>
    <hyperlink r:id="rId133" ref="K135"/>
    <hyperlink r:id="rId134" ref="K136"/>
    <hyperlink r:id="rId135" ref="K137"/>
    <hyperlink r:id="rId136" ref="K138"/>
    <hyperlink r:id="rId137" ref="K139"/>
    <hyperlink r:id="rId138" ref="K140"/>
    <hyperlink r:id="rId139" ref="K141"/>
    <hyperlink r:id="rId140" ref="K142"/>
    <hyperlink r:id="rId141" ref="K143"/>
    <hyperlink r:id="rId142" ref="K144"/>
    <hyperlink r:id="rId143" ref="K145"/>
    <hyperlink r:id="rId144" ref="K146"/>
    <hyperlink r:id="rId145" ref="K147"/>
    <hyperlink r:id="rId146" ref="K148"/>
    <hyperlink r:id="rId147" ref="K149"/>
    <hyperlink r:id="rId148" ref="K150"/>
    <hyperlink r:id="rId149" ref="K151"/>
    <hyperlink r:id="rId150" ref="K152"/>
    <hyperlink r:id="rId151" ref="K153"/>
    <hyperlink r:id="rId152" ref="K154"/>
    <hyperlink r:id="rId153" ref="K155"/>
    <hyperlink r:id="rId154" ref="K156"/>
    <hyperlink r:id="rId155" ref="K157"/>
    <hyperlink r:id="rId156" ref="K158"/>
    <hyperlink r:id="rId157" ref="K159"/>
    <hyperlink r:id="rId158" ref="K160"/>
    <hyperlink r:id="rId159" ref="K161"/>
    <hyperlink r:id="rId160" ref="K162"/>
    <hyperlink r:id="rId161" ref="K163"/>
    <hyperlink r:id="rId162" ref="K164"/>
    <hyperlink r:id="rId163" ref="K165"/>
    <hyperlink r:id="rId164" ref="K166"/>
    <hyperlink r:id="rId165" ref="K167"/>
    <hyperlink r:id="rId166" ref="K168"/>
    <hyperlink r:id="rId167" ref="K169"/>
    <hyperlink r:id="rId168" ref="K170"/>
    <hyperlink r:id="rId169" ref="K171"/>
    <hyperlink r:id="rId170" ref="K172"/>
    <hyperlink r:id="rId171" ref="K173"/>
    <hyperlink r:id="rId172" ref="K174"/>
    <hyperlink r:id="rId173" ref="K175"/>
    <hyperlink r:id="rId174" ref="K176"/>
    <hyperlink r:id="rId175" ref="K177"/>
    <hyperlink r:id="rId176" ref="K178"/>
    <hyperlink r:id="rId177" ref="K179"/>
    <hyperlink r:id="rId178" ref="K180"/>
    <hyperlink r:id="rId179" ref="K181"/>
    <hyperlink r:id="rId180" ref="K182"/>
    <hyperlink r:id="rId181" ref="K183"/>
    <hyperlink r:id="rId182" ref="K184"/>
    <hyperlink r:id="rId183" ref="K185"/>
    <hyperlink r:id="rId184" ref="K186"/>
    <hyperlink r:id="rId185" ref="K187"/>
    <hyperlink r:id="rId186" ref="K188"/>
    <hyperlink r:id="rId187" ref="K189"/>
    <hyperlink r:id="rId188" ref="K190"/>
    <hyperlink r:id="rId189" ref="K191"/>
    <hyperlink r:id="rId190" ref="K192"/>
    <hyperlink r:id="rId191" ref="K193"/>
    <hyperlink r:id="rId192" ref="K194"/>
    <hyperlink r:id="rId193" ref="K195"/>
    <hyperlink r:id="rId194" ref="K196"/>
    <hyperlink r:id="rId195" ref="K197"/>
    <hyperlink r:id="rId196" ref="K198"/>
    <hyperlink r:id="rId197" ref="K199"/>
    <hyperlink r:id="rId198" ref="K200"/>
    <hyperlink r:id="rId199" ref="K201"/>
    <hyperlink r:id="rId200" ref="K202"/>
    <hyperlink r:id="rId201" ref="K203"/>
    <hyperlink r:id="rId202" ref="K204"/>
    <hyperlink r:id="rId203" ref="K205"/>
    <hyperlink r:id="rId204" ref="K206"/>
    <hyperlink r:id="rId205" ref="K207"/>
    <hyperlink r:id="rId206" ref="K208"/>
    <hyperlink r:id="rId207" ref="K209"/>
    <hyperlink r:id="rId208" ref="K210"/>
    <hyperlink r:id="rId209" ref="K211"/>
    <hyperlink r:id="rId210" ref="K212"/>
    <hyperlink r:id="rId211" ref="K213"/>
    <hyperlink r:id="rId212" ref="K214"/>
    <hyperlink r:id="rId213" ref="K215"/>
    <hyperlink r:id="rId214" ref="K216"/>
    <hyperlink r:id="rId215" ref="K217"/>
    <hyperlink r:id="rId216" ref="K218"/>
    <hyperlink r:id="rId217" ref="K219"/>
    <hyperlink r:id="rId218" ref="K220"/>
    <hyperlink r:id="rId219" ref="K221"/>
    <hyperlink r:id="rId220" ref="K222"/>
    <hyperlink r:id="rId221" ref="K223"/>
    <hyperlink r:id="rId222" ref="K224"/>
    <hyperlink r:id="rId223" ref="K225"/>
    <hyperlink r:id="rId224" ref="K226"/>
    <hyperlink r:id="rId225" ref="K227"/>
    <hyperlink r:id="rId226" ref="K228"/>
    <hyperlink r:id="rId227" ref="K229"/>
    <hyperlink r:id="rId228" ref="K230"/>
    <hyperlink r:id="rId229" ref="K231"/>
    <hyperlink r:id="rId230" ref="K232"/>
    <hyperlink r:id="rId231" ref="K233"/>
    <hyperlink r:id="rId232" ref="K234"/>
    <hyperlink r:id="rId233" ref="K235"/>
    <hyperlink r:id="rId234" ref="K236"/>
    <hyperlink r:id="rId235" ref="K237"/>
    <hyperlink r:id="rId236" ref="K238"/>
    <hyperlink r:id="rId237" ref="K239"/>
    <hyperlink r:id="rId238" ref="K240"/>
    <hyperlink r:id="rId239" ref="K241"/>
    <hyperlink r:id="rId240" ref="K242"/>
    <hyperlink r:id="rId241" ref="K243"/>
    <hyperlink r:id="rId242" ref="K244"/>
    <hyperlink r:id="rId243" ref="K245"/>
    <hyperlink r:id="rId244" ref="K246"/>
    <hyperlink r:id="rId245" ref="K247"/>
    <hyperlink r:id="rId246" ref="K248"/>
    <hyperlink r:id="rId247" ref="K249"/>
    <hyperlink r:id="rId248" ref="K250"/>
    <hyperlink r:id="rId249" ref="K251"/>
    <hyperlink r:id="rId250" ref="K252"/>
    <hyperlink r:id="rId251" ref="K253"/>
    <hyperlink r:id="rId252" ref="K254"/>
    <hyperlink r:id="rId253" ref="K255"/>
    <hyperlink r:id="rId254" ref="K256"/>
    <hyperlink r:id="rId255" ref="K257"/>
    <hyperlink r:id="rId256" ref="K258"/>
    <hyperlink r:id="rId257" ref="K259"/>
    <hyperlink r:id="rId258" ref="K260"/>
    <hyperlink r:id="rId259" ref="K261"/>
    <hyperlink r:id="rId260" ref="K262"/>
    <hyperlink r:id="rId261" ref="K263"/>
    <hyperlink r:id="rId262" ref="K264"/>
    <hyperlink r:id="rId263" ref="K265"/>
    <hyperlink r:id="rId264" ref="K266"/>
    <hyperlink r:id="rId265" ref="K267"/>
    <hyperlink r:id="rId266" ref="K268"/>
    <hyperlink r:id="rId267" ref="K269"/>
    <hyperlink r:id="rId268" ref="K270"/>
    <hyperlink r:id="rId269" ref="K271"/>
    <hyperlink r:id="rId270" ref="K272"/>
    <hyperlink r:id="rId271" ref="K273"/>
    <hyperlink r:id="rId272" ref="K274"/>
    <hyperlink r:id="rId273" ref="K275"/>
    <hyperlink r:id="rId274" ref="K276"/>
    <hyperlink r:id="rId275" ref="K277"/>
    <hyperlink r:id="rId276" ref="K278"/>
    <hyperlink r:id="rId277" ref="K279"/>
    <hyperlink r:id="rId278" ref="K280"/>
    <hyperlink r:id="rId279" ref="K281"/>
    <hyperlink r:id="rId280" ref="K282"/>
    <hyperlink r:id="rId281" ref="K283"/>
    <hyperlink r:id="rId282" ref="K284"/>
    <hyperlink r:id="rId283" ref="K285"/>
    <hyperlink r:id="rId284" ref="K286"/>
    <hyperlink r:id="rId285" ref="K287"/>
    <hyperlink r:id="rId286" ref="K288"/>
    <hyperlink r:id="rId287" ref="K289"/>
    <hyperlink r:id="rId288" ref="K290"/>
    <hyperlink r:id="rId289" ref="K291"/>
    <hyperlink r:id="rId290" ref="K292"/>
    <hyperlink r:id="rId291" ref="K293"/>
    <hyperlink r:id="rId292" ref="K294"/>
    <hyperlink r:id="rId293" ref="K295"/>
    <hyperlink r:id="rId294" ref="K296"/>
    <hyperlink r:id="rId295" ref="K297"/>
    <hyperlink r:id="rId296" ref="K298"/>
    <hyperlink r:id="rId297" ref="K299"/>
    <hyperlink r:id="rId298" ref="K300"/>
    <hyperlink r:id="rId299" ref="K301"/>
    <hyperlink r:id="rId300" ref="K302"/>
    <hyperlink r:id="rId301" ref="K303"/>
    <hyperlink r:id="rId302" ref="K304"/>
    <hyperlink r:id="rId303" ref="K305"/>
    <hyperlink r:id="rId304" ref="K306"/>
    <hyperlink r:id="rId305" ref="K307"/>
    <hyperlink r:id="rId306" ref="K308"/>
    <hyperlink r:id="rId307" ref="K309"/>
    <hyperlink r:id="rId308" ref="K310"/>
    <hyperlink r:id="rId309" ref="K311"/>
    <hyperlink r:id="rId310" ref="K312"/>
    <hyperlink r:id="rId311" ref="K313"/>
    <hyperlink r:id="rId312" ref="K314"/>
    <hyperlink r:id="rId313" ref="K315"/>
    <hyperlink r:id="rId314" ref="K316"/>
    <hyperlink r:id="rId315" ref="K317"/>
    <hyperlink r:id="rId316" ref="K318"/>
    <hyperlink r:id="rId317" ref="K319"/>
    <hyperlink r:id="rId318" ref="K320"/>
    <hyperlink r:id="rId319" ref="K321"/>
    <hyperlink r:id="rId320" ref="K322"/>
    <hyperlink r:id="rId321" ref="K323"/>
    <hyperlink r:id="rId322" ref="K324"/>
    <hyperlink r:id="rId323" ref="K325"/>
    <hyperlink r:id="rId324" ref="K326"/>
    <hyperlink r:id="rId325" ref="K327"/>
    <hyperlink r:id="rId326" ref="K328"/>
    <hyperlink r:id="rId327" ref="K329"/>
    <hyperlink r:id="rId328" ref="K330"/>
    <hyperlink r:id="rId329" ref="K331"/>
    <hyperlink r:id="rId330" ref="K332"/>
    <hyperlink r:id="rId331" ref="K333"/>
    <hyperlink r:id="rId332" ref="K334"/>
    <hyperlink r:id="rId333" ref="K335"/>
    <hyperlink r:id="rId334" ref="K336"/>
    <hyperlink r:id="rId335" ref="K337"/>
    <hyperlink r:id="rId336" ref="K338"/>
    <hyperlink r:id="rId337" ref="K339"/>
    <hyperlink r:id="rId338" ref="K340"/>
    <hyperlink r:id="rId339" ref="K341"/>
    <hyperlink r:id="rId340" ref="K342"/>
    <hyperlink r:id="rId341" ref="K343"/>
    <hyperlink r:id="rId342" ref="K344"/>
    <hyperlink r:id="rId343" ref="K345"/>
    <hyperlink r:id="rId344" ref="K346"/>
    <hyperlink r:id="rId345" ref="K347"/>
    <hyperlink r:id="rId346" ref="K348"/>
    <hyperlink r:id="rId347" ref="K349"/>
    <hyperlink r:id="rId348" ref="K350"/>
    <hyperlink r:id="rId349" ref="K351"/>
    <hyperlink r:id="rId350" ref="K352"/>
    <hyperlink r:id="rId351" ref="K353"/>
    <hyperlink r:id="rId352" ref="K354"/>
    <hyperlink r:id="rId353" ref="K355"/>
    <hyperlink r:id="rId354" ref="K356"/>
    <hyperlink r:id="rId355" ref="K357"/>
    <hyperlink r:id="rId356" ref="K358"/>
    <hyperlink r:id="rId357" ref="K359"/>
    <hyperlink r:id="rId358" ref="K360"/>
    <hyperlink r:id="rId359" ref="K361"/>
    <hyperlink r:id="rId360" ref="K362"/>
    <hyperlink r:id="rId361" ref="K363"/>
    <hyperlink r:id="rId362" ref="K364"/>
    <hyperlink r:id="rId363" ref="K365"/>
    <hyperlink r:id="rId364" ref="K366"/>
    <hyperlink r:id="rId365" ref="K367"/>
    <hyperlink r:id="rId366" ref="K368"/>
    <hyperlink r:id="rId367" ref="K369"/>
    <hyperlink r:id="rId368" ref="K370"/>
    <hyperlink r:id="rId369" ref="K371"/>
    <hyperlink r:id="rId370" ref="K372"/>
    <hyperlink r:id="rId371" ref="K373"/>
    <hyperlink r:id="rId372" ref="K374"/>
    <hyperlink r:id="rId373" ref="K375"/>
    <hyperlink r:id="rId374" ref="K376"/>
    <hyperlink r:id="rId375" ref="K377"/>
    <hyperlink r:id="rId376" ref="K378"/>
    <hyperlink r:id="rId377" ref="K379"/>
    <hyperlink r:id="rId378" ref="K380"/>
    <hyperlink r:id="rId379" ref="K381"/>
    <hyperlink r:id="rId380" ref="K382"/>
    <hyperlink r:id="rId381" ref="K383"/>
    <hyperlink r:id="rId382" ref="K384"/>
    <hyperlink r:id="rId383" ref="K385"/>
    <hyperlink r:id="rId384" ref="K386"/>
    <hyperlink r:id="rId385" ref="K387"/>
    <hyperlink r:id="rId386" ref="K388"/>
    <hyperlink r:id="rId387" ref="K389"/>
    <hyperlink r:id="rId388" ref="K390"/>
    <hyperlink r:id="rId389" ref="K391"/>
    <hyperlink r:id="rId390" ref="K392"/>
    <hyperlink r:id="rId391" ref="K393"/>
    <hyperlink r:id="rId392" ref="K394"/>
    <hyperlink r:id="rId393" ref="K395"/>
    <hyperlink r:id="rId394" ref="K396"/>
    <hyperlink r:id="rId395" ref="K397"/>
    <hyperlink r:id="rId396" ref="K398"/>
    <hyperlink r:id="rId397" ref="K399"/>
    <hyperlink r:id="rId398" ref="K400"/>
    <hyperlink r:id="rId399" ref="K401"/>
    <hyperlink r:id="rId400" ref="K402"/>
    <hyperlink r:id="rId401" ref="K403"/>
    <hyperlink r:id="rId402" ref="K404"/>
    <hyperlink r:id="rId403" ref="K405"/>
    <hyperlink r:id="rId404" ref="K406"/>
    <hyperlink r:id="rId405" ref="K407"/>
    <hyperlink r:id="rId406" ref="K408"/>
    <hyperlink r:id="rId407" ref="K409"/>
    <hyperlink r:id="rId408" ref="K410"/>
    <hyperlink r:id="rId409" ref="K411"/>
    <hyperlink r:id="rId410" ref="K412"/>
    <hyperlink r:id="rId411" ref="K413"/>
    <hyperlink r:id="rId412" ref="K414"/>
    <hyperlink r:id="rId413" ref="K415"/>
    <hyperlink r:id="rId414" ref="K416"/>
    <hyperlink r:id="rId415" ref="K417"/>
    <hyperlink r:id="rId416" ref="K418"/>
    <hyperlink r:id="rId417" ref="K419"/>
    <hyperlink r:id="rId418" ref="K420"/>
    <hyperlink r:id="rId419" ref="K421"/>
    <hyperlink r:id="rId420" ref="K422"/>
    <hyperlink r:id="rId421" ref="K423"/>
    <hyperlink r:id="rId422" ref="K424"/>
    <hyperlink r:id="rId423" ref="K425"/>
    <hyperlink r:id="rId424" ref="K426"/>
    <hyperlink r:id="rId425" ref="K427"/>
    <hyperlink r:id="rId426" ref="K428"/>
    <hyperlink r:id="rId427" ref="K429"/>
    <hyperlink r:id="rId428" ref="K430"/>
    <hyperlink r:id="rId429" ref="K431"/>
    <hyperlink r:id="rId430" ref="K432"/>
    <hyperlink r:id="rId431" ref="K433"/>
    <hyperlink r:id="rId432" ref="K434"/>
    <hyperlink r:id="rId433" ref="K435"/>
    <hyperlink r:id="rId434" ref="K436"/>
    <hyperlink r:id="rId435" ref="K437"/>
    <hyperlink r:id="rId436" ref="K438"/>
    <hyperlink r:id="rId437" ref="K439"/>
    <hyperlink r:id="rId438" ref="K440"/>
    <hyperlink r:id="rId439" ref="K441"/>
    <hyperlink r:id="rId440" ref="K442"/>
    <hyperlink r:id="rId441" ref="K443"/>
    <hyperlink r:id="rId442" ref="K444"/>
    <hyperlink r:id="rId443" ref="K445"/>
    <hyperlink r:id="rId444" ref="K446"/>
    <hyperlink r:id="rId445" ref="K447"/>
    <hyperlink r:id="rId446" ref="K448"/>
    <hyperlink r:id="rId447" ref="K449"/>
    <hyperlink r:id="rId448" ref="K450"/>
    <hyperlink r:id="rId449" ref="K451"/>
    <hyperlink r:id="rId450" ref="K452"/>
    <hyperlink r:id="rId451" ref="K453"/>
    <hyperlink r:id="rId452" ref="K454"/>
    <hyperlink r:id="rId453" ref="K455"/>
    <hyperlink r:id="rId454" ref="K456"/>
    <hyperlink r:id="rId455" ref="K457"/>
    <hyperlink r:id="rId456" ref="K458"/>
    <hyperlink r:id="rId457" ref="K459"/>
    <hyperlink r:id="rId458" ref="K460"/>
    <hyperlink r:id="rId459" ref="K461"/>
    <hyperlink r:id="rId460" ref="K462"/>
    <hyperlink r:id="rId461" ref="K463"/>
    <hyperlink r:id="rId462" ref="K464"/>
    <hyperlink r:id="rId463" ref="K465"/>
    <hyperlink r:id="rId464" ref="K466"/>
    <hyperlink r:id="rId465" ref="K467"/>
    <hyperlink r:id="rId466" ref="K468"/>
    <hyperlink r:id="rId467" ref="K469"/>
    <hyperlink r:id="rId468" ref="K470"/>
    <hyperlink r:id="rId469" ref="K471"/>
    <hyperlink r:id="rId470" ref="K472"/>
    <hyperlink r:id="rId471" ref="K473"/>
    <hyperlink r:id="rId472" ref="K474"/>
    <hyperlink r:id="rId473" ref="K475"/>
    <hyperlink r:id="rId474" ref="K476"/>
    <hyperlink r:id="rId475" ref="K477"/>
    <hyperlink r:id="rId476" ref="K478"/>
    <hyperlink r:id="rId477" ref="K479"/>
    <hyperlink r:id="rId478" ref="K480"/>
    <hyperlink r:id="rId479" ref="K481"/>
    <hyperlink r:id="rId480" ref="K482"/>
    <hyperlink r:id="rId481" ref="K483"/>
    <hyperlink r:id="rId482" ref="K484"/>
    <hyperlink r:id="rId483" ref="K485"/>
    <hyperlink r:id="rId484" ref="K486"/>
    <hyperlink r:id="rId485" ref="K487"/>
    <hyperlink r:id="rId486" ref="K488"/>
    <hyperlink r:id="rId487" ref="K489"/>
    <hyperlink r:id="rId488" ref="K490"/>
    <hyperlink r:id="rId489" ref="K491"/>
    <hyperlink r:id="rId490" ref="K492"/>
    <hyperlink r:id="rId491" ref="K493"/>
    <hyperlink r:id="rId492" ref="K494"/>
    <hyperlink r:id="rId493" ref="K495"/>
    <hyperlink r:id="rId494" ref="K496"/>
    <hyperlink r:id="rId495" ref="K497"/>
    <hyperlink r:id="rId496" ref="K498"/>
    <hyperlink r:id="rId497" ref="K499"/>
    <hyperlink r:id="rId498" ref="K500"/>
    <hyperlink r:id="rId499" ref="K501"/>
    <hyperlink r:id="rId500" ref="K502"/>
    <hyperlink r:id="rId501" ref="K504"/>
    <hyperlink r:id="rId502" ref="K505"/>
    <hyperlink r:id="rId503" ref="K506"/>
    <hyperlink r:id="rId504" ref="K507"/>
    <hyperlink r:id="rId505" ref="K508"/>
    <hyperlink r:id="rId506" ref="K509"/>
    <hyperlink r:id="rId507" ref="K510"/>
    <hyperlink r:id="rId508" ref="K511"/>
    <hyperlink r:id="rId509" ref="K512"/>
    <hyperlink r:id="rId510" ref="K513"/>
    <hyperlink r:id="rId511" ref="K514"/>
    <hyperlink r:id="rId512" ref="K515"/>
    <hyperlink r:id="rId513" ref="K516"/>
    <hyperlink r:id="rId514" ref="K517"/>
    <hyperlink r:id="rId515" ref="K518"/>
    <hyperlink r:id="rId516" ref="K519"/>
    <hyperlink r:id="rId517" ref="K520"/>
    <hyperlink r:id="rId518" ref="K521"/>
    <hyperlink r:id="rId519" ref="K522"/>
    <hyperlink r:id="rId520" ref="K523"/>
    <hyperlink r:id="rId521" ref="K524"/>
    <hyperlink r:id="rId522" ref="K525"/>
    <hyperlink r:id="rId523" ref="K526"/>
    <hyperlink r:id="rId524" ref="K527"/>
    <hyperlink r:id="rId525" ref="K528"/>
    <hyperlink r:id="rId526" ref="K529"/>
    <hyperlink r:id="rId527" ref="K530"/>
    <hyperlink r:id="rId528" ref="K531"/>
    <hyperlink r:id="rId529" ref="K532"/>
    <hyperlink r:id="rId530" ref="K533"/>
    <hyperlink r:id="rId531" ref="K534"/>
    <hyperlink r:id="rId532" ref="K535"/>
    <hyperlink r:id="rId533" ref="K536"/>
    <hyperlink r:id="rId534" ref="K537"/>
    <hyperlink r:id="rId535" ref="K538"/>
    <hyperlink r:id="rId536" ref="K539"/>
    <hyperlink r:id="rId537" ref="K540"/>
    <hyperlink r:id="rId538" ref="K541"/>
    <hyperlink r:id="rId539" ref="K542"/>
    <hyperlink r:id="rId540" ref="K543"/>
    <hyperlink r:id="rId541" ref="K544"/>
    <hyperlink r:id="rId542" ref="K545"/>
    <hyperlink r:id="rId543" ref="K546"/>
    <hyperlink r:id="rId544" ref="K547"/>
    <hyperlink r:id="rId545" ref="K548"/>
    <hyperlink r:id="rId546" ref="K549"/>
    <hyperlink r:id="rId547" ref="K550"/>
    <hyperlink r:id="rId548" ref="K551"/>
    <hyperlink r:id="rId549" ref="K552"/>
    <hyperlink r:id="rId550" ref="K553"/>
    <hyperlink r:id="rId551" ref="K554"/>
    <hyperlink r:id="rId552" ref="K555"/>
    <hyperlink r:id="rId553" ref="K556"/>
    <hyperlink r:id="rId554" ref="K557"/>
    <hyperlink r:id="rId555" ref="K558"/>
    <hyperlink r:id="rId556" ref="K559"/>
    <hyperlink r:id="rId557" ref="K560"/>
    <hyperlink r:id="rId558" ref="K561"/>
    <hyperlink r:id="rId559" ref="K562"/>
    <hyperlink r:id="rId560" ref="K563"/>
    <hyperlink r:id="rId561" ref="K564"/>
    <hyperlink r:id="rId562" ref="K565"/>
    <hyperlink r:id="rId563" ref="K566"/>
    <hyperlink r:id="rId564" ref="K567"/>
    <hyperlink r:id="rId565" ref="K568"/>
    <hyperlink r:id="rId566" ref="K569"/>
    <hyperlink r:id="rId567" ref="K570"/>
    <hyperlink r:id="rId568" ref="K571"/>
    <hyperlink r:id="rId569" ref="K572"/>
    <hyperlink r:id="rId570" ref="K573"/>
    <hyperlink r:id="rId571" ref="K574"/>
    <hyperlink r:id="rId572" ref="K575"/>
    <hyperlink r:id="rId573" ref="K576"/>
    <hyperlink r:id="rId574" ref="K577"/>
    <hyperlink r:id="rId575" ref="K578"/>
    <hyperlink r:id="rId576" ref="K579"/>
    <hyperlink r:id="rId577" ref="K580"/>
    <hyperlink r:id="rId578" ref="K581"/>
    <hyperlink r:id="rId579" ref="K582"/>
    <hyperlink r:id="rId580" ref="K583"/>
    <hyperlink r:id="rId581" ref="K584"/>
    <hyperlink r:id="rId582" ref="K585"/>
    <hyperlink r:id="rId583" ref="K586"/>
    <hyperlink r:id="rId584" ref="K587"/>
    <hyperlink r:id="rId585" ref="K588"/>
    <hyperlink r:id="rId586" ref="K589"/>
    <hyperlink r:id="rId587" ref="K590"/>
    <hyperlink r:id="rId588" ref="K591"/>
    <hyperlink r:id="rId589" ref="K592"/>
    <hyperlink r:id="rId590" ref="K593"/>
    <hyperlink r:id="rId591" ref="K594"/>
    <hyperlink r:id="rId592" ref="K595"/>
    <hyperlink r:id="rId593" ref="K596"/>
    <hyperlink r:id="rId594" ref="K597"/>
    <hyperlink r:id="rId595" ref="K598"/>
    <hyperlink r:id="rId596" ref="K599"/>
    <hyperlink r:id="rId597" ref="K600"/>
    <hyperlink r:id="rId598" ref="K601"/>
    <hyperlink r:id="rId599" ref="K602"/>
    <hyperlink r:id="rId600" ref="K603"/>
    <hyperlink r:id="rId601" ref="K604"/>
    <hyperlink r:id="rId602" ref="K605"/>
    <hyperlink r:id="rId603" ref="K606"/>
    <hyperlink r:id="rId604" ref="K607"/>
    <hyperlink r:id="rId605" ref="K608"/>
    <hyperlink r:id="rId606" ref="K609"/>
    <hyperlink r:id="rId607" ref="K610"/>
    <hyperlink r:id="rId608" ref="K611"/>
    <hyperlink r:id="rId609" ref="K612"/>
    <hyperlink r:id="rId610" ref="K613"/>
    <hyperlink r:id="rId611" ref="K614"/>
    <hyperlink r:id="rId612" ref="K615"/>
    <hyperlink r:id="rId613" ref="K616"/>
    <hyperlink r:id="rId614" ref="K617"/>
    <hyperlink r:id="rId615" ref="K618"/>
    <hyperlink r:id="rId616" ref="K619"/>
    <hyperlink r:id="rId617" ref="K620"/>
    <hyperlink r:id="rId618" ref="K621"/>
    <hyperlink r:id="rId619" ref="K622"/>
    <hyperlink r:id="rId620" ref="K623"/>
    <hyperlink r:id="rId621" ref="K624"/>
    <hyperlink r:id="rId622" ref="K625"/>
    <hyperlink r:id="rId623" ref="K626"/>
    <hyperlink r:id="rId624" ref="K627"/>
    <hyperlink r:id="rId625" ref="K628"/>
    <hyperlink r:id="rId626" ref="K629"/>
    <hyperlink r:id="rId627" ref="K630"/>
    <hyperlink r:id="rId628" ref="K631"/>
    <hyperlink r:id="rId629" ref="K632"/>
    <hyperlink r:id="rId630" ref="K633"/>
    <hyperlink r:id="rId631" ref="K634"/>
    <hyperlink r:id="rId632" ref="K635"/>
    <hyperlink r:id="rId633" ref="K636"/>
    <hyperlink r:id="rId634" ref="K637"/>
    <hyperlink r:id="rId635" ref="K638"/>
    <hyperlink r:id="rId636" ref="K639"/>
    <hyperlink r:id="rId637" ref="K640"/>
    <hyperlink r:id="rId638" ref="K641"/>
    <hyperlink r:id="rId639" ref="K642"/>
    <hyperlink r:id="rId640" ref="K643"/>
    <hyperlink r:id="rId641" ref="K644"/>
    <hyperlink r:id="rId642" ref="K645"/>
    <hyperlink r:id="rId643" ref="K646"/>
    <hyperlink r:id="rId644" ref="K648"/>
    <hyperlink r:id="rId645" ref="K649"/>
    <hyperlink r:id="rId646" ref="K650"/>
    <hyperlink r:id="rId647" ref="K651"/>
    <hyperlink r:id="rId648" ref="K652"/>
    <hyperlink r:id="rId649" ref="K653"/>
    <hyperlink r:id="rId650" ref="K654"/>
    <hyperlink r:id="rId651" ref="K655"/>
    <hyperlink r:id="rId652" ref="K656"/>
    <hyperlink r:id="rId653" ref="K657"/>
    <hyperlink r:id="rId654" ref="K658"/>
    <hyperlink r:id="rId655" ref="K659"/>
    <hyperlink r:id="rId656" ref="K660"/>
    <hyperlink r:id="rId657" ref="K661"/>
    <hyperlink r:id="rId658" ref="K662"/>
    <hyperlink r:id="rId659" ref="K663"/>
    <hyperlink r:id="rId660" ref="K664"/>
    <hyperlink r:id="rId661" ref="K665"/>
    <hyperlink r:id="rId662" ref="K666"/>
    <hyperlink r:id="rId663" ref="K667"/>
    <hyperlink r:id="rId664" ref="K668"/>
    <hyperlink r:id="rId665" ref="K669"/>
    <hyperlink r:id="rId666" ref="K670"/>
    <hyperlink r:id="rId667" ref="K671"/>
    <hyperlink r:id="rId668" ref="K672"/>
    <hyperlink r:id="rId669" ref="K673"/>
    <hyperlink r:id="rId670" ref="K674"/>
    <hyperlink r:id="rId671" ref="K675"/>
    <hyperlink r:id="rId672" ref="K676"/>
    <hyperlink r:id="rId673" ref="K677"/>
    <hyperlink r:id="rId674" ref="K678"/>
    <hyperlink r:id="rId675" ref="K679"/>
    <hyperlink r:id="rId676" ref="K680"/>
    <hyperlink r:id="rId677" ref="K681"/>
    <hyperlink r:id="rId678" ref="K682"/>
    <hyperlink r:id="rId679" ref="K683"/>
    <hyperlink r:id="rId680" ref="K684"/>
    <hyperlink r:id="rId681" ref="K685"/>
    <hyperlink r:id="rId682" ref="K686"/>
    <hyperlink r:id="rId683" ref="K687"/>
    <hyperlink r:id="rId684" ref="K688"/>
    <hyperlink r:id="rId685" ref="K689"/>
    <hyperlink r:id="rId686" ref="K690"/>
    <hyperlink r:id="rId687" ref="K691"/>
    <hyperlink r:id="rId688" ref="K692"/>
    <hyperlink r:id="rId689" ref="K693"/>
    <hyperlink r:id="rId690" ref="K694"/>
    <hyperlink r:id="rId691" ref="K695"/>
    <hyperlink r:id="rId692" ref="K696"/>
    <hyperlink r:id="rId693" ref="K697"/>
    <hyperlink r:id="rId694" ref="K698"/>
    <hyperlink r:id="rId695" ref="K699"/>
    <hyperlink r:id="rId696" ref="K700"/>
    <hyperlink r:id="rId697" ref="K701"/>
    <hyperlink r:id="rId698" ref="K702"/>
    <hyperlink r:id="rId699" ref="K703"/>
    <hyperlink r:id="rId700" ref="K704"/>
    <hyperlink r:id="rId701" ref="K705"/>
    <hyperlink r:id="rId702" ref="K706"/>
    <hyperlink r:id="rId703" ref="K707"/>
    <hyperlink r:id="rId704" ref="K708"/>
    <hyperlink r:id="rId705" ref="K709"/>
    <hyperlink r:id="rId706" ref="K710"/>
    <hyperlink r:id="rId707" ref="K711"/>
    <hyperlink r:id="rId708" ref="K712"/>
    <hyperlink r:id="rId709" ref="K713"/>
    <hyperlink r:id="rId710" ref="K714"/>
    <hyperlink r:id="rId711" ref="K715"/>
    <hyperlink r:id="rId712" ref="K716"/>
    <hyperlink r:id="rId713" ref="K717"/>
    <hyperlink r:id="rId714" ref="K718"/>
    <hyperlink r:id="rId715" ref="K719"/>
    <hyperlink r:id="rId716" ref="K720"/>
    <hyperlink r:id="rId717" ref="K721"/>
    <hyperlink r:id="rId718" ref="K722"/>
    <hyperlink r:id="rId719" ref="K723"/>
    <hyperlink r:id="rId720" ref="K724"/>
    <hyperlink r:id="rId721" ref="K725"/>
    <hyperlink r:id="rId722" ref="K726"/>
    <hyperlink r:id="rId723" ref="K727"/>
    <hyperlink r:id="rId724" ref="K728"/>
    <hyperlink r:id="rId725" ref="K729"/>
    <hyperlink r:id="rId726" ref="K730"/>
    <hyperlink r:id="rId727" ref="K731"/>
    <hyperlink r:id="rId728" ref="K732"/>
    <hyperlink r:id="rId729" ref="K733"/>
    <hyperlink r:id="rId730" ref="K734"/>
    <hyperlink r:id="rId731" ref="K735"/>
    <hyperlink r:id="rId732" ref="K736"/>
    <hyperlink r:id="rId733" ref="K737"/>
    <hyperlink r:id="rId734" ref="K738"/>
    <hyperlink r:id="rId735" ref="K739"/>
    <hyperlink r:id="rId736" ref="K740"/>
    <hyperlink r:id="rId737" ref="K741"/>
    <hyperlink r:id="rId738" ref="K742"/>
    <hyperlink r:id="rId739" ref="K743"/>
    <hyperlink r:id="rId740" ref="K744"/>
    <hyperlink r:id="rId741" ref="K745"/>
    <hyperlink r:id="rId742" ref="K746"/>
    <hyperlink r:id="rId743" ref="K747"/>
    <hyperlink r:id="rId744" ref="K748"/>
    <hyperlink r:id="rId745" ref="K749"/>
    <hyperlink r:id="rId746" ref="K750"/>
    <hyperlink r:id="rId747" ref="K751"/>
    <hyperlink r:id="rId748" ref="K752"/>
    <hyperlink r:id="rId749" ref="K753"/>
    <hyperlink r:id="rId750" ref="K754"/>
    <hyperlink r:id="rId751" ref="K755"/>
    <hyperlink r:id="rId752" ref="K756"/>
    <hyperlink r:id="rId753" ref="K757"/>
    <hyperlink r:id="rId754" ref="K758"/>
    <hyperlink r:id="rId755" ref="K759"/>
    <hyperlink r:id="rId756" ref="K760"/>
    <hyperlink r:id="rId757" ref="K761"/>
    <hyperlink r:id="rId758" ref="K762"/>
    <hyperlink r:id="rId759" ref="K763"/>
    <hyperlink r:id="rId760" ref="K764"/>
    <hyperlink r:id="rId761" ref="K765"/>
    <hyperlink r:id="rId762" ref="K766"/>
    <hyperlink r:id="rId763" ref="K767"/>
    <hyperlink r:id="rId764" ref="K768"/>
    <hyperlink r:id="rId765" ref="K769"/>
    <hyperlink r:id="rId766" ref="K770"/>
    <hyperlink r:id="rId767" ref="K771"/>
    <hyperlink r:id="rId768" ref="K772"/>
    <hyperlink r:id="rId769" ref="K773"/>
    <hyperlink r:id="rId770" ref="K774"/>
    <hyperlink r:id="rId771" ref="K775"/>
    <hyperlink r:id="rId772" ref="K776"/>
    <hyperlink r:id="rId773" ref="K777"/>
    <hyperlink r:id="rId774" ref="K778"/>
    <hyperlink r:id="rId775" ref="K779"/>
    <hyperlink r:id="rId776" ref="K780"/>
    <hyperlink r:id="rId777" ref="K781"/>
    <hyperlink r:id="rId778" ref="K782"/>
    <hyperlink r:id="rId779" ref="K783"/>
    <hyperlink r:id="rId780" ref="K784"/>
    <hyperlink r:id="rId781" ref="K785"/>
    <hyperlink r:id="rId782" ref="K786"/>
    <hyperlink r:id="rId783" ref="K787"/>
    <hyperlink r:id="rId784" ref="K788"/>
    <hyperlink r:id="rId785" ref="K789"/>
    <hyperlink r:id="rId786" ref="K790"/>
    <hyperlink r:id="rId787" ref="K791"/>
    <hyperlink r:id="rId788" ref="K792"/>
    <hyperlink r:id="rId789" ref="K793"/>
    <hyperlink r:id="rId790" ref="K794"/>
    <hyperlink r:id="rId791" ref="K795"/>
    <hyperlink r:id="rId792" ref="K796"/>
    <hyperlink r:id="rId793" ref="K797"/>
    <hyperlink r:id="rId794" ref="K798"/>
    <hyperlink r:id="rId795" ref="K799"/>
    <hyperlink r:id="rId796" ref="K800"/>
    <hyperlink r:id="rId797" ref="K801"/>
    <hyperlink r:id="rId798" ref="K802"/>
    <hyperlink r:id="rId799" ref="K803"/>
    <hyperlink r:id="rId800" ref="K804"/>
    <hyperlink r:id="rId801" ref="K805"/>
    <hyperlink r:id="rId802" ref="K806"/>
    <hyperlink r:id="rId803" ref="K807"/>
    <hyperlink r:id="rId804" ref="K808"/>
    <hyperlink r:id="rId805" ref="K809"/>
    <hyperlink r:id="rId806" ref="K810"/>
    <hyperlink r:id="rId807" ref="K811"/>
    <hyperlink r:id="rId808" ref="K812"/>
    <hyperlink r:id="rId809" ref="K813"/>
    <hyperlink r:id="rId810" ref="K814"/>
    <hyperlink r:id="rId811" ref="K815"/>
    <hyperlink r:id="rId812" ref="K816"/>
    <hyperlink r:id="rId813" ref="K817"/>
    <hyperlink r:id="rId814" ref="K818"/>
    <hyperlink r:id="rId815" ref="K819"/>
    <hyperlink r:id="rId816" ref="K820"/>
    <hyperlink r:id="rId817" ref="K821"/>
    <hyperlink r:id="rId818" ref="K822"/>
    <hyperlink r:id="rId819" ref="K823"/>
    <hyperlink r:id="rId820" ref="K824"/>
    <hyperlink r:id="rId821" ref="K825"/>
    <hyperlink r:id="rId822" ref="K826"/>
    <hyperlink r:id="rId823" ref="K827"/>
    <hyperlink r:id="rId824" ref="K828"/>
    <hyperlink r:id="rId825" ref="K829"/>
    <hyperlink r:id="rId826" ref="K830"/>
    <hyperlink r:id="rId827" ref="K831"/>
    <hyperlink r:id="rId828" ref="K832"/>
    <hyperlink r:id="rId829" ref="K833"/>
    <hyperlink r:id="rId830" ref="K834"/>
    <hyperlink r:id="rId831" ref="K835"/>
    <hyperlink r:id="rId832" ref="K836"/>
    <hyperlink r:id="rId833" ref="K837"/>
    <hyperlink r:id="rId834" ref="K838"/>
    <hyperlink r:id="rId835" ref="K839"/>
    <hyperlink r:id="rId836" ref="K840"/>
    <hyperlink r:id="rId837" ref="K841"/>
    <hyperlink r:id="rId838" ref="K842"/>
    <hyperlink r:id="rId839" ref="K843"/>
    <hyperlink r:id="rId840" ref="K844"/>
    <hyperlink r:id="rId841" ref="K845"/>
    <hyperlink r:id="rId842" ref="K846"/>
    <hyperlink r:id="rId843" ref="K847"/>
    <hyperlink r:id="rId844" ref="K848"/>
    <hyperlink r:id="rId845" ref="K849"/>
    <hyperlink r:id="rId846" ref="K850"/>
    <hyperlink r:id="rId847" ref="K851"/>
    <hyperlink r:id="rId848" ref="K852"/>
    <hyperlink r:id="rId849" ref="K853"/>
    <hyperlink r:id="rId850" ref="K854"/>
    <hyperlink r:id="rId851" ref="K855"/>
    <hyperlink r:id="rId852" ref="K856"/>
    <hyperlink r:id="rId853" ref="K857"/>
    <hyperlink r:id="rId854" ref="K858"/>
    <hyperlink r:id="rId855" ref="K859"/>
    <hyperlink r:id="rId856" ref="K860"/>
    <hyperlink r:id="rId857" ref="K861"/>
    <hyperlink r:id="rId858" ref="K862"/>
    <hyperlink r:id="rId859" ref="K863"/>
    <hyperlink r:id="rId860" ref="K864"/>
    <hyperlink r:id="rId861" ref="K865"/>
    <hyperlink r:id="rId862" ref="K866"/>
    <hyperlink r:id="rId863" ref="K867"/>
    <hyperlink r:id="rId864" ref="K868"/>
    <hyperlink r:id="rId865" ref="K869"/>
    <hyperlink r:id="rId866" ref="K870"/>
    <hyperlink r:id="rId867" ref="K871"/>
    <hyperlink r:id="rId868" ref="K872"/>
    <hyperlink r:id="rId869" ref="K873"/>
    <hyperlink r:id="rId870" ref="K874"/>
    <hyperlink r:id="rId871" ref="K875"/>
    <hyperlink r:id="rId872" ref="K876"/>
    <hyperlink r:id="rId873" ref="K877"/>
    <hyperlink r:id="rId874" ref="K878"/>
    <hyperlink r:id="rId875" ref="K879"/>
    <hyperlink r:id="rId876" ref="K880"/>
    <hyperlink r:id="rId877" ref="K881"/>
    <hyperlink r:id="rId878" ref="K882"/>
    <hyperlink r:id="rId879" ref="K883"/>
    <hyperlink r:id="rId880" ref="K884"/>
    <hyperlink r:id="rId881" ref="K885"/>
    <hyperlink r:id="rId882" ref="K886"/>
    <hyperlink r:id="rId883" ref="K887"/>
    <hyperlink r:id="rId884" ref="K888"/>
    <hyperlink r:id="rId885" ref="K889"/>
    <hyperlink r:id="rId886" ref="K890"/>
    <hyperlink r:id="rId887" ref="K891"/>
    <hyperlink r:id="rId888" ref="K892"/>
    <hyperlink r:id="rId889" ref="K893"/>
    <hyperlink r:id="rId890" ref="K894"/>
    <hyperlink r:id="rId891" ref="K895"/>
    <hyperlink r:id="rId892" ref="K896"/>
    <hyperlink r:id="rId893" ref="K897"/>
    <hyperlink r:id="rId894" ref="K898"/>
    <hyperlink r:id="rId895" ref="K899"/>
    <hyperlink r:id="rId896" ref="K900"/>
    <hyperlink r:id="rId897" ref="K901"/>
    <hyperlink r:id="rId898" ref="K902"/>
    <hyperlink r:id="rId899" ref="K903"/>
    <hyperlink r:id="rId900" ref="K904"/>
    <hyperlink r:id="rId901" ref="K905"/>
    <hyperlink r:id="rId902" ref="K906"/>
    <hyperlink r:id="rId903" ref="K907"/>
    <hyperlink r:id="rId904" ref="K908"/>
    <hyperlink r:id="rId905" ref="K909"/>
    <hyperlink r:id="rId906" ref="K910"/>
    <hyperlink r:id="rId907" ref="K911"/>
    <hyperlink r:id="rId908" ref="K912"/>
    <hyperlink r:id="rId909" ref="K913"/>
    <hyperlink r:id="rId910" ref="K914"/>
    <hyperlink r:id="rId911" ref="K915"/>
    <hyperlink r:id="rId912" ref="K916"/>
    <hyperlink r:id="rId913" ref="K917"/>
    <hyperlink r:id="rId914" ref="K918"/>
    <hyperlink r:id="rId915" ref="K919"/>
    <hyperlink r:id="rId916" ref="K920"/>
    <hyperlink r:id="rId917" ref="K921"/>
    <hyperlink r:id="rId918" ref="K922"/>
    <hyperlink r:id="rId919" ref="K923"/>
    <hyperlink r:id="rId920" ref="K924"/>
    <hyperlink r:id="rId921" ref="K925"/>
    <hyperlink r:id="rId922" ref="K926"/>
    <hyperlink r:id="rId923" ref="K927"/>
    <hyperlink r:id="rId924" ref="K928"/>
    <hyperlink r:id="rId925" ref="K929"/>
    <hyperlink r:id="rId926" ref="K930"/>
    <hyperlink r:id="rId927" ref="K931"/>
    <hyperlink r:id="rId928" ref="K932"/>
    <hyperlink r:id="rId929" ref="K933"/>
    <hyperlink r:id="rId930" ref="K934"/>
    <hyperlink r:id="rId931" ref="K935"/>
    <hyperlink r:id="rId932" ref="K936"/>
    <hyperlink r:id="rId933" ref="K937"/>
    <hyperlink r:id="rId934" ref="K938"/>
    <hyperlink r:id="rId935" ref="K939"/>
    <hyperlink r:id="rId936" ref="K940"/>
    <hyperlink r:id="rId937" ref="K941"/>
    <hyperlink r:id="rId938" ref="K942"/>
    <hyperlink r:id="rId939" ref="K943"/>
    <hyperlink r:id="rId940" ref="K944"/>
    <hyperlink r:id="rId941" ref="K945"/>
    <hyperlink r:id="rId942" ref="K946"/>
    <hyperlink r:id="rId943" ref="K947"/>
    <hyperlink r:id="rId944" ref="K948"/>
    <hyperlink r:id="rId945" ref="K949"/>
    <hyperlink r:id="rId946" ref="K950"/>
    <hyperlink r:id="rId947" ref="K951"/>
    <hyperlink r:id="rId948" ref="K952"/>
    <hyperlink r:id="rId949" ref="K953"/>
    <hyperlink r:id="rId950" ref="K954"/>
    <hyperlink r:id="rId951" ref="K955"/>
    <hyperlink r:id="rId952" ref="K956"/>
    <hyperlink r:id="rId953" ref="K957"/>
    <hyperlink r:id="rId954" ref="K958"/>
    <hyperlink r:id="rId955" ref="K959"/>
    <hyperlink r:id="rId956" ref="K960"/>
    <hyperlink r:id="rId957" ref="K961"/>
    <hyperlink r:id="rId958" ref="K962"/>
    <hyperlink r:id="rId959" ref="K963"/>
    <hyperlink r:id="rId960" ref="K964"/>
    <hyperlink r:id="rId961" ref="K965"/>
    <hyperlink r:id="rId962" ref="K966"/>
    <hyperlink r:id="rId963" ref="K967"/>
    <hyperlink r:id="rId964" ref="K968"/>
    <hyperlink r:id="rId965" ref="K969"/>
    <hyperlink r:id="rId966" ref="K970"/>
    <hyperlink r:id="rId967" ref="K971"/>
    <hyperlink r:id="rId968" ref="K972"/>
    <hyperlink r:id="rId969" ref="K973"/>
    <hyperlink r:id="rId970" ref="K974"/>
    <hyperlink r:id="rId971" ref="K975"/>
    <hyperlink r:id="rId972" ref="K976"/>
    <hyperlink r:id="rId973" ref="K977"/>
    <hyperlink r:id="rId974" ref="K978"/>
    <hyperlink r:id="rId975" ref="K979"/>
    <hyperlink r:id="rId976" ref="K980"/>
    <hyperlink r:id="rId977" ref="K981"/>
    <hyperlink r:id="rId978" ref="K982"/>
    <hyperlink r:id="rId979" ref="K983"/>
    <hyperlink r:id="rId980" ref="K984"/>
    <hyperlink r:id="rId981" ref="K985"/>
    <hyperlink r:id="rId982" ref="K986"/>
    <hyperlink r:id="rId983" ref="K987"/>
    <hyperlink r:id="rId984" ref="K988"/>
    <hyperlink r:id="rId985" ref="K989"/>
    <hyperlink r:id="rId986" ref="K990"/>
    <hyperlink r:id="rId987" ref="K991"/>
    <hyperlink r:id="rId988" ref="K992"/>
    <hyperlink r:id="rId989" ref="K993"/>
    <hyperlink r:id="rId990" ref="K994"/>
    <hyperlink r:id="rId991" ref="K995"/>
    <hyperlink r:id="rId992" ref="K996"/>
    <hyperlink r:id="rId993" ref="K997"/>
    <hyperlink r:id="rId994" ref="K998"/>
    <hyperlink r:id="rId995" ref="K999"/>
    <hyperlink r:id="rId996" ref="K1000"/>
    <hyperlink r:id="rId997" ref="K1001"/>
    <hyperlink r:id="rId998" ref="K1002"/>
    <hyperlink r:id="rId999" ref="K1003"/>
    <hyperlink r:id="rId1000" ref="K1004"/>
    <hyperlink r:id="rId1001" ref="K1005"/>
    <hyperlink r:id="rId1002" ref="K1006"/>
    <hyperlink r:id="rId1003" ref="K1007"/>
    <hyperlink r:id="rId1004" ref="K1008"/>
    <hyperlink r:id="rId1005" ref="K1009"/>
    <hyperlink r:id="rId1006" ref="K1010"/>
    <hyperlink r:id="rId1007" ref="K1011"/>
    <hyperlink r:id="rId1008" ref="K1012"/>
    <hyperlink r:id="rId1009" ref="K1013"/>
    <hyperlink r:id="rId1010" ref="K1014"/>
    <hyperlink r:id="rId1011" ref="K1015"/>
    <hyperlink r:id="rId1012" ref="K1016"/>
    <hyperlink r:id="rId1013" ref="K1017"/>
    <hyperlink r:id="rId1014" ref="K1018"/>
    <hyperlink r:id="rId1015" ref="K1019"/>
    <hyperlink r:id="rId1016" ref="K1020"/>
    <hyperlink r:id="rId1017" ref="K1021"/>
    <hyperlink r:id="rId1018" ref="K1022"/>
    <hyperlink r:id="rId1019" ref="K1023"/>
    <hyperlink r:id="rId1020" ref="K1024"/>
    <hyperlink r:id="rId1021" ref="K1025"/>
    <hyperlink r:id="rId1022" ref="K1026"/>
    <hyperlink r:id="rId1023" ref="K1027"/>
    <hyperlink r:id="rId1024" ref="K1028"/>
    <hyperlink r:id="rId1025" ref="K1029"/>
    <hyperlink r:id="rId1026" ref="K1030"/>
    <hyperlink r:id="rId1027" ref="K1031"/>
    <hyperlink r:id="rId1028" ref="K1032"/>
    <hyperlink r:id="rId1029" ref="K1033"/>
    <hyperlink r:id="rId1030" ref="K1034"/>
    <hyperlink r:id="rId1031" ref="K1035"/>
    <hyperlink r:id="rId1032" ref="K1036"/>
    <hyperlink r:id="rId1033" ref="K1037"/>
    <hyperlink r:id="rId1034" ref="K1038"/>
    <hyperlink r:id="rId1035" ref="K1039"/>
    <hyperlink r:id="rId1036" ref="K1040"/>
    <hyperlink r:id="rId1037" ref="K1041"/>
    <hyperlink r:id="rId1038" ref="K1042"/>
    <hyperlink r:id="rId1039" ref="K1043"/>
    <hyperlink r:id="rId1040" ref="K1044"/>
    <hyperlink r:id="rId1041" ref="K1045"/>
    <hyperlink r:id="rId1042" ref="K1046"/>
    <hyperlink r:id="rId1043" ref="K1047"/>
    <hyperlink r:id="rId1044" ref="K1048"/>
    <hyperlink r:id="rId1045" ref="K1049"/>
    <hyperlink r:id="rId1046" ref="K1050"/>
    <hyperlink r:id="rId1047" ref="K1051"/>
    <hyperlink r:id="rId1048" ref="K1052"/>
    <hyperlink r:id="rId1049" ref="K1053"/>
    <hyperlink r:id="rId1050" ref="K1054"/>
    <hyperlink r:id="rId1051" ref="K1055"/>
    <hyperlink r:id="rId1052" ref="K1056"/>
    <hyperlink r:id="rId1053" ref="K1057"/>
    <hyperlink r:id="rId1054" ref="K1058"/>
    <hyperlink r:id="rId1055" ref="K1059"/>
    <hyperlink r:id="rId1056" ref="K1060"/>
    <hyperlink r:id="rId1057" ref="K1061"/>
    <hyperlink r:id="rId1058" ref="K1062"/>
    <hyperlink r:id="rId1059" ref="K1063"/>
    <hyperlink r:id="rId1060" ref="K1064"/>
    <hyperlink r:id="rId1061" ref="K1065"/>
    <hyperlink r:id="rId1062" ref="K1066"/>
    <hyperlink r:id="rId1063" ref="K1067"/>
    <hyperlink r:id="rId1064" ref="K1068"/>
    <hyperlink r:id="rId1065" ref="K1069"/>
    <hyperlink r:id="rId1066" ref="K1070"/>
    <hyperlink r:id="rId1067" ref="K1071"/>
    <hyperlink r:id="rId1068" ref="K1072"/>
    <hyperlink r:id="rId1069" ref="K1073"/>
    <hyperlink r:id="rId1070" ref="K1074"/>
    <hyperlink r:id="rId1071" ref="K1075"/>
    <hyperlink r:id="rId1072" ref="K1076"/>
    <hyperlink r:id="rId1073" ref="K1077"/>
    <hyperlink r:id="rId1074" ref="K1078"/>
    <hyperlink r:id="rId1075" ref="K1079"/>
    <hyperlink r:id="rId1076" ref="K1080"/>
    <hyperlink r:id="rId1077" ref="K1081"/>
    <hyperlink r:id="rId1078" ref="K1082"/>
    <hyperlink r:id="rId1079" ref="K1084"/>
    <hyperlink r:id="rId1080" ref="K1085"/>
    <hyperlink r:id="rId1081" ref="K1086"/>
    <hyperlink r:id="rId1082" ref="K1087"/>
    <hyperlink r:id="rId1083" ref="K1088"/>
    <hyperlink r:id="rId1084" ref="K1089"/>
    <hyperlink r:id="rId1085" ref="K1090"/>
    <hyperlink r:id="rId1086" ref="K1091"/>
    <hyperlink r:id="rId1087" ref="K1092"/>
    <hyperlink r:id="rId1088" ref="K1093"/>
    <hyperlink r:id="rId1089" ref="K1094"/>
    <hyperlink r:id="rId1090" ref="K1095"/>
    <hyperlink r:id="rId1091" ref="K1096"/>
    <hyperlink r:id="rId1092" ref="K1097"/>
    <hyperlink r:id="rId1093" ref="K1098"/>
    <hyperlink r:id="rId1094" ref="K1099"/>
    <hyperlink r:id="rId1095" ref="K1100"/>
    <hyperlink r:id="rId1096" ref="K1101"/>
    <hyperlink r:id="rId1097" ref="K1102"/>
    <hyperlink r:id="rId1098" ref="K1103"/>
    <hyperlink r:id="rId1099" ref="K1104"/>
    <hyperlink r:id="rId1100" ref="K1105"/>
    <hyperlink r:id="rId1101" ref="K1106"/>
    <hyperlink r:id="rId1102" ref="K1107"/>
    <hyperlink r:id="rId1103" ref="K1108"/>
    <hyperlink r:id="rId1104" ref="K1109"/>
    <hyperlink r:id="rId1105" ref="K1110"/>
    <hyperlink r:id="rId1106" ref="K1111"/>
    <hyperlink r:id="rId1107" ref="K1112"/>
    <hyperlink r:id="rId1108" ref="K1113"/>
    <hyperlink r:id="rId1109" ref="K1114"/>
    <hyperlink r:id="rId1110" ref="K1115"/>
    <hyperlink r:id="rId1111" ref="K1116"/>
    <hyperlink r:id="rId1112" ref="K1117"/>
    <hyperlink r:id="rId1113" ref="K1118"/>
    <hyperlink r:id="rId1114" ref="K1119"/>
    <hyperlink r:id="rId1115" ref="K1120"/>
    <hyperlink r:id="rId1116" ref="K1121"/>
    <hyperlink r:id="rId1117" ref="K1122"/>
    <hyperlink r:id="rId1118" ref="K1123"/>
    <hyperlink r:id="rId1119" ref="K1124"/>
    <hyperlink r:id="rId1120" ref="K1125"/>
    <hyperlink r:id="rId1121" ref="K1126"/>
    <hyperlink r:id="rId1122" ref="K1127"/>
    <hyperlink r:id="rId1123" ref="K1128"/>
    <hyperlink r:id="rId1124" ref="K1129"/>
    <hyperlink r:id="rId1125" ref="K1130"/>
    <hyperlink r:id="rId1126" ref="K1131"/>
    <hyperlink r:id="rId1127" ref="K1132"/>
    <hyperlink r:id="rId1128" ref="K1133"/>
    <hyperlink r:id="rId1129" ref="K1134"/>
    <hyperlink r:id="rId1130" ref="K1135"/>
    <hyperlink r:id="rId1131" ref="K1136"/>
    <hyperlink r:id="rId1132" ref="K1137"/>
    <hyperlink r:id="rId1133" ref="K1138"/>
    <hyperlink r:id="rId1134" ref="K1139"/>
    <hyperlink r:id="rId1135" ref="K1140"/>
    <hyperlink r:id="rId1136" ref="K1141"/>
    <hyperlink r:id="rId1137" ref="K1142"/>
    <hyperlink r:id="rId1138" ref="K1143"/>
    <hyperlink r:id="rId1139" ref="K1144"/>
    <hyperlink r:id="rId1140" ref="K1145"/>
    <hyperlink r:id="rId1141" ref="K1146"/>
    <hyperlink r:id="rId1142" ref="K1147"/>
    <hyperlink r:id="rId1143" ref="K1148"/>
    <hyperlink r:id="rId1144" ref="K1149"/>
    <hyperlink r:id="rId1145" ref="K1150"/>
    <hyperlink r:id="rId1146" ref="K1151"/>
    <hyperlink r:id="rId1147" ref="K1152"/>
    <hyperlink r:id="rId1148" ref="K1153"/>
    <hyperlink r:id="rId1149" ref="K1154"/>
    <hyperlink r:id="rId1150" ref="K1155"/>
    <hyperlink r:id="rId1151" ref="K1156"/>
    <hyperlink r:id="rId1152" ref="K1157"/>
    <hyperlink r:id="rId1153" ref="K1158"/>
    <hyperlink r:id="rId1154" ref="K1159"/>
    <hyperlink r:id="rId1155" ref="K1160"/>
    <hyperlink r:id="rId1156" ref="K1161"/>
    <hyperlink r:id="rId1157" ref="K1162"/>
    <hyperlink r:id="rId1158" ref="K1163"/>
    <hyperlink r:id="rId1159" ref="K1164"/>
    <hyperlink r:id="rId1160" ref="K1165"/>
    <hyperlink r:id="rId1161" ref="K1166"/>
    <hyperlink r:id="rId1162" ref="K1167"/>
    <hyperlink r:id="rId1163" ref="K1168"/>
    <hyperlink r:id="rId1164" ref="K1169"/>
    <hyperlink r:id="rId1165" ref="K1170"/>
    <hyperlink r:id="rId1166" ref="K1171"/>
    <hyperlink r:id="rId1167" ref="K1172"/>
    <hyperlink r:id="rId1168" ref="K1173"/>
    <hyperlink r:id="rId1169" ref="K1174"/>
    <hyperlink r:id="rId1170" ref="K1175"/>
    <hyperlink r:id="rId1171" ref="K1176"/>
    <hyperlink r:id="rId1172" ref="K1177"/>
    <hyperlink r:id="rId1173" ref="K1178"/>
    <hyperlink r:id="rId1174" ref="K1179"/>
    <hyperlink r:id="rId1175" ref="K1180"/>
    <hyperlink r:id="rId1176" ref="K1181"/>
    <hyperlink r:id="rId1177" ref="K1182"/>
    <hyperlink r:id="rId1178" ref="K1183"/>
    <hyperlink r:id="rId1179" ref="K1184"/>
    <hyperlink r:id="rId1180" ref="K1185"/>
    <hyperlink r:id="rId1181" ref="K1186"/>
    <hyperlink r:id="rId1182" ref="K1187"/>
    <hyperlink r:id="rId1183" ref="K1188"/>
    <hyperlink r:id="rId1184" ref="K1189"/>
    <hyperlink r:id="rId1185" ref="K1190"/>
    <hyperlink r:id="rId1186" ref="K1191"/>
    <hyperlink r:id="rId1187" ref="K1192"/>
    <hyperlink r:id="rId1188" ref="K1193"/>
    <hyperlink r:id="rId1189" ref="K1194"/>
    <hyperlink r:id="rId1190" ref="K1195"/>
    <hyperlink r:id="rId1191" ref="K1196"/>
    <hyperlink r:id="rId1192" ref="K1197"/>
    <hyperlink r:id="rId1193" ref="K1198"/>
    <hyperlink r:id="rId1194" ref="K1199"/>
    <hyperlink r:id="rId1195" ref="K1200"/>
    <hyperlink r:id="rId1196" ref="K1201"/>
    <hyperlink r:id="rId1197" ref="K1202"/>
    <hyperlink r:id="rId1198" ref="K1203"/>
    <hyperlink r:id="rId1199" ref="K1204"/>
    <hyperlink r:id="rId1200" ref="K1205"/>
    <hyperlink r:id="rId1201" ref="K1206"/>
    <hyperlink r:id="rId1202" ref="K1207"/>
    <hyperlink r:id="rId1203" ref="K1208"/>
    <hyperlink r:id="rId1204" ref="K1209"/>
    <hyperlink r:id="rId1205" ref="K1210"/>
    <hyperlink r:id="rId1206" ref="K1211"/>
    <hyperlink r:id="rId1207" ref="K1212"/>
    <hyperlink r:id="rId1208" ref="K1213"/>
    <hyperlink r:id="rId1209" ref="K1214"/>
    <hyperlink r:id="rId1210" ref="K1215"/>
    <hyperlink r:id="rId1211" ref="K1216"/>
    <hyperlink r:id="rId1212" ref="K1217"/>
    <hyperlink r:id="rId1213" ref="K1218"/>
    <hyperlink r:id="rId1214" ref="K1219"/>
    <hyperlink r:id="rId1215" ref="K1220"/>
    <hyperlink r:id="rId1216" ref="K1221"/>
    <hyperlink r:id="rId1217" ref="K1222"/>
    <hyperlink r:id="rId1218" ref="K1223"/>
    <hyperlink r:id="rId1219" ref="K1224"/>
    <hyperlink r:id="rId1220" ref="K1225"/>
    <hyperlink r:id="rId1221" ref="K1226"/>
    <hyperlink r:id="rId1222" ref="K1227"/>
    <hyperlink r:id="rId1223" ref="K1228"/>
    <hyperlink r:id="rId1224" ref="K1229"/>
    <hyperlink r:id="rId1225" ref="K1230"/>
    <hyperlink r:id="rId1226" ref="K1231"/>
  </hyperlinks>
  <drawing r:id="rId1227"/>
</worksheet>
</file>